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timothyliu/Desktop/UPitt/2024-25 Spring Semester/Advanced DT/Final Project/"/>
    </mc:Choice>
  </mc:AlternateContent>
  <xr:revisionPtr revIDLastSave="0" documentId="13_ncr:1_{C7EF81C5-F9F0-FA48-A661-8436E9C79C77}" xr6:coauthVersionLast="47" xr6:coauthVersionMax="47" xr10:uidLastSave="{00000000-0000-0000-0000-000000000000}"/>
  <bookViews>
    <workbookView xWindow="1060" yWindow="760" windowWidth="27640" windowHeight="15520" xr2:uid="{618C91F3-614C-CF4F-B4EC-C7A252B7239A}"/>
  </bookViews>
  <sheets>
    <sheet name="Problem Statement" sheetId="1" r:id="rId1"/>
    <sheet name="Model Setup" sheetId="2" r:id="rId2"/>
    <sheet name="Min Cost" sheetId="3" r:id="rId3"/>
    <sheet name="Max Reliability" sheetId="5" r:id="rId4"/>
    <sheet name="P1" sheetId="11" r:id="rId5"/>
    <sheet name="P2" sheetId="9" r:id="rId6"/>
    <sheet name="P3" sheetId="10" r:id="rId7"/>
    <sheet name="P4" sheetId="8" r:id="rId8"/>
    <sheet name="P5" sheetId="7" r:id="rId9"/>
    <sheet name="ParetoFront, Result&amp;Analysis" sheetId="6" r:id="rId10"/>
    <sheet name="Recommendations &amp; Conclusion" sheetId="12" r:id="rId11"/>
  </sheets>
  <definedNames>
    <definedName name="solver_adj" localSheetId="3" hidden="1">'Max Reliability'!$B$2:$B$5</definedName>
    <definedName name="solver_adj" localSheetId="2" hidden="1">'Min Cost'!$B$2:$B$5</definedName>
    <definedName name="solver_adj" localSheetId="4" hidden="1">'P1'!$B$2:$B$5</definedName>
    <definedName name="solver_adj" localSheetId="5" hidden="1">'P2'!$B$2:$B$5</definedName>
    <definedName name="solver_adj" localSheetId="6" hidden="1">'P3'!$B$2:$B$5</definedName>
    <definedName name="solver_adj" localSheetId="7" hidden="1">'P4'!$B$2:$B$5</definedName>
    <definedName name="solver_adj" localSheetId="8" hidden="1">'P5'!$B$2:$B$5</definedName>
    <definedName name="solver_cvg" localSheetId="3" hidden="1">0.0001</definedName>
    <definedName name="solver_cvg" localSheetId="2" hidden="1">0.0001</definedName>
    <definedName name="solver_cvg" localSheetId="4" hidden="1">0.0001</definedName>
    <definedName name="solver_cvg" localSheetId="5" hidden="1">0.0001</definedName>
    <definedName name="solver_cvg" localSheetId="6" hidden="1">0.0001</definedName>
    <definedName name="solver_cvg" localSheetId="7" hidden="1">0.0001</definedName>
    <definedName name="solver_cvg" localSheetId="8" hidden="1">0.0001</definedName>
    <definedName name="solver_drv" localSheetId="3" hidden="1">1</definedName>
    <definedName name="solver_drv" localSheetId="2" hidden="1">1</definedName>
    <definedName name="solver_drv" localSheetId="4" hidden="1">1</definedName>
    <definedName name="solver_drv" localSheetId="5" hidden="1">1</definedName>
    <definedName name="solver_drv" localSheetId="6" hidden="1">1</definedName>
    <definedName name="solver_drv" localSheetId="7" hidden="1">1</definedName>
    <definedName name="solver_drv" localSheetId="8" hidden="1">1</definedName>
    <definedName name="solver_eng" localSheetId="3" hidden="1">2</definedName>
    <definedName name="solver_eng" localSheetId="2" hidden="1">2</definedName>
    <definedName name="solver_eng" localSheetId="4" hidden="1">2</definedName>
    <definedName name="solver_eng" localSheetId="5" hidden="1">2</definedName>
    <definedName name="solver_eng" localSheetId="6" hidden="1">2</definedName>
    <definedName name="solver_eng" localSheetId="7" hidden="1">2</definedName>
    <definedName name="solver_eng" localSheetId="8" hidden="1">2</definedName>
    <definedName name="solver_itr" localSheetId="3" hidden="1">2147483647</definedName>
    <definedName name="solver_itr" localSheetId="2" hidden="1">2147483647</definedName>
    <definedName name="solver_itr" localSheetId="4" hidden="1">2147483647</definedName>
    <definedName name="solver_itr" localSheetId="5" hidden="1">2147483647</definedName>
    <definedName name="solver_itr" localSheetId="6" hidden="1">2147483647</definedName>
    <definedName name="solver_itr" localSheetId="7" hidden="1">2147483647</definedName>
    <definedName name="solver_itr" localSheetId="8" hidden="1">2147483647</definedName>
    <definedName name="solver_lhs1" localSheetId="3" hidden="1">'Max Reliability'!$B$2:$B$5</definedName>
    <definedName name="solver_lhs1" localSheetId="2" hidden="1">'Min Cost'!$B$2:$B$5</definedName>
    <definedName name="solver_lhs1" localSheetId="4" hidden="1">'P1'!$B$2:$B$5</definedName>
    <definedName name="solver_lhs1" localSheetId="5" hidden="1">'P2'!$B$2:$B$5</definedName>
    <definedName name="solver_lhs1" localSheetId="6" hidden="1">'P3'!$B$2:$B$5</definedName>
    <definedName name="solver_lhs1" localSheetId="7" hidden="1">'P4'!$B$2:$B$5</definedName>
    <definedName name="solver_lhs1" localSheetId="8" hidden="1">'P5'!$B$2:$B$5</definedName>
    <definedName name="solver_lhs2" localSheetId="3" hidden="1">'Max Reliability'!$B$7</definedName>
    <definedName name="solver_lhs2" localSheetId="2" hidden="1">'Min Cost'!$B$7</definedName>
    <definedName name="solver_lhs2" localSheetId="4" hidden="1">'P1'!$B$7</definedName>
    <definedName name="solver_lhs2" localSheetId="5" hidden="1">'P2'!$B$7</definedName>
    <definedName name="solver_lhs2" localSheetId="6" hidden="1">'P3'!$B$7</definedName>
    <definedName name="solver_lhs2" localSheetId="7" hidden="1">'P4'!$B$7</definedName>
    <definedName name="solver_lhs2" localSheetId="8" hidden="1">'P5'!$B$7</definedName>
    <definedName name="solver_lhs3" localSheetId="3" hidden="1">'Max Reliability'!$D$7</definedName>
    <definedName name="solver_lhs3" localSheetId="2" hidden="1">'Min Cost'!$D$7</definedName>
    <definedName name="solver_lhs3" localSheetId="4" hidden="1">'P1'!$C$7</definedName>
    <definedName name="solver_lhs3" localSheetId="5" hidden="1">'P2'!$C$7</definedName>
    <definedName name="solver_lhs3" localSheetId="6" hidden="1">'P3'!$C$7</definedName>
    <definedName name="solver_lhs3" localSheetId="7" hidden="1">'P4'!$C$7</definedName>
    <definedName name="solver_lhs3" localSheetId="8" hidden="1">'P5'!$C$7</definedName>
    <definedName name="solver_lhs4" localSheetId="4" hidden="1">'P1'!$D$7</definedName>
    <definedName name="solver_lhs4" localSheetId="5" hidden="1">'P2'!$D$7</definedName>
    <definedName name="solver_lhs4" localSheetId="6" hidden="1">'P3'!$D$7</definedName>
    <definedName name="solver_lhs4" localSheetId="7" hidden="1">'P4'!$D$7</definedName>
    <definedName name="solver_lhs4" localSheetId="8" hidden="1">'P5'!$D$7</definedName>
    <definedName name="solver_lin" localSheetId="3" hidden="1">1</definedName>
    <definedName name="solver_lin" localSheetId="2" hidden="1">1</definedName>
    <definedName name="solver_lin" localSheetId="4" hidden="1">1</definedName>
    <definedName name="solver_lin" localSheetId="5" hidden="1">1</definedName>
    <definedName name="solver_lin" localSheetId="6" hidden="1">1</definedName>
    <definedName name="solver_lin" localSheetId="7" hidden="1">1</definedName>
    <definedName name="solver_lin" localSheetId="8" hidden="1">1</definedName>
    <definedName name="solver_mip" localSheetId="3" hidden="1">2147483647</definedName>
    <definedName name="solver_mip" localSheetId="2" hidden="1">2147483647</definedName>
    <definedName name="solver_mip" localSheetId="4" hidden="1">2147483647</definedName>
    <definedName name="solver_mip" localSheetId="5" hidden="1">2147483647</definedName>
    <definedName name="solver_mip" localSheetId="6" hidden="1">2147483647</definedName>
    <definedName name="solver_mip" localSheetId="7" hidden="1">2147483647</definedName>
    <definedName name="solver_mip" localSheetId="8" hidden="1">2147483647</definedName>
    <definedName name="solver_mni" localSheetId="3" hidden="1">30</definedName>
    <definedName name="solver_mni" localSheetId="2" hidden="1">30</definedName>
    <definedName name="solver_mni" localSheetId="4" hidden="1">30</definedName>
    <definedName name="solver_mni" localSheetId="5" hidden="1">30</definedName>
    <definedName name="solver_mni" localSheetId="6" hidden="1">30</definedName>
    <definedName name="solver_mni" localSheetId="7" hidden="1">30</definedName>
    <definedName name="solver_mni" localSheetId="8" hidden="1">30</definedName>
    <definedName name="solver_mrt" localSheetId="3" hidden="1">0.075</definedName>
    <definedName name="solver_mrt" localSheetId="2" hidden="1">0.075</definedName>
    <definedName name="solver_mrt" localSheetId="4" hidden="1">0.075</definedName>
    <definedName name="solver_mrt" localSheetId="5" hidden="1">0.075</definedName>
    <definedName name="solver_mrt" localSheetId="6" hidden="1">0.075</definedName>
    <definedName name="solver_mrt" localSheetId="7" hidden="1">0.075</definedName>
    <definedName name="solver_mrt" localSheetId="8" hidden="1">0.075</definedName>
    <definedName name="solver_msl" localSheetId="3" hidden="1">2</definedName>
    <definedName name="solver_msl" localSheetId="2" hidden="1">2</definedName>
    <definedName name="solver_msl" localSheetId="4" hidden="1">2</definedName>
    <definedName name="solver_msl" localSheetId="5" hidden="1">2</definedName>
    <definedName name="solver_msl" localSheetId="6" hidden="1">2</definedName>
    <definedName name="solver_msl" localSheetId="7" hidden="1">2</definedName>
    <definedName name="solver_msl" localSheetId="8" hidden="1">2</definedName>
    <definedName name="solver_neg" localSheetId="3" hidden="1">1</definedName>
    <definedName name="solver_neg" localSheetId="2" hidden="1">1</definedName>
    <definedName name="solver_neg" localSheetId="4" hidden="1">1</definedName>
    <definedName name="solver_neg" localSheetId="5" hidden="1">1</definedName>
    <definedName name="solver_neg" localSheetId="6" hidden="1">1</definedName>
    <definedName name="solver_neg" localSheetId="7" hidden="1">1</definedName>
    <definedName name="solver_neg" localSheetId="8" hidden="1">1</definedName>
    <definedName name="solver_nod" localSheetId="3" hidden="1">2147483647</definedName>
    <definedName name="solver_nod" localSheetId="2" hidden="1">2147483647</definedName>
    <definedName name="solver_nod" localSheetId="4" hidden="1">2147483647</definedName>
    <definedName name="solver_nod" localSheetId="5" hidden="1">2147483647</definedName>
    <definedName name="solver_nod" localSheetId="6" hidden="1">2147483647</definedName>
    <definedName name="solver_nod" localSheetId="7" hidden="1">2147483647</definedName>
    <definedName name="solver_nod" localSheetId="8" hidden="1">2147483647</definedName>
    <definedName name="solver_num" localSheetId="3" hidden="1">3</definedName>
    <definedName name="solver_num" localSheetId="2" hidden="1">3</definedName>
    <definedName name="solver_num" localSheetId="4" hidden="1">4</definedName>
    <definedName name="solver_num" localSheetId="5" hidden="1">4</definedName>
    <definedName name="solver_num" localSheetId="6" hidden="1">4</definedName>
    <definedName name="solver_num" localSheetId="7" hidden="1">4</definedName>
    <definedName name="solver_num" localSheetId="8" hidden="1">4</definedName>
    <definedName name="solver_opt" localSheetId="3" hidden="1">'Max Reliability'!$E$7</definedName>
    <definedName name="solver_opt" localSheetId="2" hidden="1">'Min Cost'!$C$7</definedName>
    <definedName name="solver_opt" localSheetId="4" hidden="1">'P1'!$E$7</definedName>
    <definedName name="solver_opt" localSheetId="5" hidden="1">'P2'!$E$7</definedName>
    <definedName name="solver_opt" localSheetId="6" hidden="1">'P3'!$E$7</definedName>
    <definedName name="solver_opt" localSheetId="7" hidden="1">'P4'!$E$7</definedName>
    <definedName name="solver_opt" localSheetId="8" hidden="1">'P5'!$E$7</definedName>
    <definedName name="solver_pre" localSheetId="3" hidden="1">0.000001</definedName>
    <definedName name="solver_pre" localSheetId="2" hidden="1">0.000001</definedName>
    <definedName name="solver_pre" localSheetId="4" hidden="1">0.000001</definedName>
    <definedName name="solver_pre" localSheetId="5" hidden="1">0.000001</definedName>
    <definedName name="solver_pre" localSheetId="6" hidden="1">0.000001</definedName>
    <definedName name="solver_pre" localSheetId="7" hidden="1">0.000001</definedName>
    <definedName name="solver_pre" localSheetId="8" hidden="1">0.000001</definedName>
    <definedName name="solver_rbv" localSheetId="3" hidden="1">1</definedName>
    <definedName name="solver_rbv" localSheetId="2" hidden="1">1</definedName>
    <definedName name="solver_rbv" localSheetId="4" hidden="1">1</definedName>
    <definedName name="solver_rbv" localSheetId="5" hidden="1">1</definedName>
    <definedName name="solver_rbv" localSheetId="6" hidden="1">1</definedName>
    <definedName name="solver_rbv" localSheetId="7" hidden="1">1</definedName>
    <definedName name="solver_rbv" localSheetId="8" hidden="1">1</definedName>
    <definedName name="solver_rel1" localSheetId="3" hidden="1">1</definedName>
    <definedName name="solver_rel1" localSheetId="2" hidden="1">1</definedName>
    <definedName name="solver_rel1" localSheetId="4" hidden="1">1</definedName>
    <definedName name="solver_rel1" localSheetId="5" hidden="1">1</definedName>
    <definedName name="solver_rel1" localSheetId="6" hidden="1">1</definedName>
    <definedName name="solver_rel1" localSheetId="7" hidden="1">1</definedName>
    <definedName name="solver_rel1" localSheetId="8" hidden="1">1</definedName>
    <definedName name="solver_rel2" localSheetId="3" hidden="1">2</definedName>
    <definedName name="solver_rel2" localSheetId="2" hidden="1">2</definedName>
    <definedName name="solver_rel2" localSheetId="4" hidden="1">2</definedName>
    <definedName name="solver_rel2" localSheetId="5" hidden="1">2</definedName>
    <definedName name="solver_rel2" localSheetId="6" hidden="1">2</definedName>
    <definedName name="solver_rel2" localSheetId="7" hidden="1">2</definedName>
    <definedName name="solver_rel2" localSheetId="8" hidden="1">2</definedName>
    <definedName name="solver_rel3" localSheetId="3" hidden="1">1</definedName>
    <definedName name="solver_rel3" localSheetId="2" hidden="1">1</definedName>
    <definedName name="solver_rel3" localSheetId="4" hidden="1">1</definedName>
    <definedName name="solver_rel3" localSheetId="5" hidden="1">1</definedName>
    <definedName name="solver_rel3" localSheetId="6" hidden="1">1</definedName>
    <definedName name="solver_rel3" localSheetId="7" hidden="1">1</definedName>
    <definedName name="solver_rel3" localSheetId="8" hidden="1">1</definedName>
    <definedName name="solver_rel4" localSheetId="4" hidden="1">1</definedName>
    <definedName name="solver_rel4" localSheetId="5" hidden="1">1</definedName>
    <definedName name="solver_rel4" localSheetId="6" hidden="1">1</definedName>
    <definedName name="solver_rel4" localSheetId="7" hidden="1">1</definedName>
    <definedName name="solver_rel4" localSheetId="8" hidden="1">1</definedName>
    <definedName name="solver_rhs1" localSheetId="3" hidden="1">'Max Reliability'!$G$2:$G$5</definedName>
    <definedName name="solver_rhs1" localSheetId="2" hidden="1">'Min Cost'!$G$2:$G$5</definedName>
    <definedName name="solver_rhs1" localSheetId="4" hidden="1">'P1'!$G$2:$G$5</definedName>
    <definedName name="solver_rhs1" localSheetId="5" hidden="1">'P2'!$G$2:$G$5</definedName>
    <definedName name="solver_rhs1" localSheetId="6" hidden="1">'P3'!$G$2:$G$5</definedName>
    <definedName name="solver_rhs1" localSheetId="7" hidden="1">'P4'!$G$2:$G$5</definedName>
    <definedName name="solver_rhs1" localSheetId="8" hidden="1">'P5'!$G$2:$G$5</definedName>
    <definedName name="solver_rhs2" localSheetId="3" hidden="1">'Max Reliability'!$B$8</definedName>
    <definedName name="solver_rhs2" localSheetId="2" hidden="1">'Min Cost'!$B$8</definedName>
    <definedName name="solver_rhs2" localSheetId="4" hidden="1">'P1'!$B$8</definedName>
    <definedName name="solver_rhs2" localSheetId="5" hidden="1">'P2'!$B$8</definedName>
    <definedName name="solver_rhs2" localSheetId="6" hidden="1">'P3'!$B$8</definedName>
    <definedName name="solver_rhs2" localSheetId="7" hidden="1">'P4'!$B$8</definedName>
    <definedName name="solver_rhs2" localSheetId="8" hidden="1">'P5'!$B$8</definedName>
    <definedName name="solver_rhs3" localSheetId="3" hidden="1">'Max Reliability'!$D$8</definedName>
    <definedName name="solver_rhs3" localSheetId="2" hidden="1">'Min Cost'!$D$8</definedName>
    <definedName name="solver_rhs3" localSheetId="4" hidden="1">'P1'!$B$11</definedName>
    <definedName name="solver_rhs3" localSheetId="5" hidden="1">'P2'!$B$12</definedName>
    <definedName name="solver_rhs3" localSheetId="6" hidden="1">'P3'!$B$13</definedName>
    <definedName name="solver_rhs3" localSheetId="7" hidden="1">'P4'!$B$14</definedName>
    <definedName name="solver_rhs3" localSheetId="8" hidden="1">'P5'!$B$16</definedName>
    <definedName name="solver_rhs4" localSheetId="4" hidden="1">'P1'!$D$8</definedName>
    <definedName name="solver_rhs4" localSheetId="5" hidden="1">'P2'!$D$8</definedName>
    <definedName name="solver_rhs4" localSheetId="6" hidden="1">'P3'!$D$8</definedName>
    <definedName name="solver_rhs4" localSheetId="7" hidden="1">'P4'!$D$8</definedName>
    <definedName name="solver_rhs4" localSheetId="8" hidden="1">'P5'!$D$8</definedName>
    <definedName name="solver_rlx" localSheetId="3" hidden="1">1</definedName>
    <definedName name="solver_rlx" localSheetId="2" hidden="1">1</definedName>
    <definedName name="solver_rlx" localSheetId="4" hidden="1">1</definedName>
    <definedName name="solver_rlx" localSheetId="5" hidden="1">1</definedName>
    <definedName name="solver_rlx" localSheetId="6" hidden="1">1</definedName>
    <definedName name="solver_rlx" localSheetId="7" hidden="1">1</definedName>
    <definedName name="solver_rlx" localSheetId="8" hidden="1">1</definedName>
    <definedName name="solver_rsd" localSheetId="3" hidden="1">0</definedName>
    <definedName name="solver_rsd" localSheetId="2" hidden="1">0</definedName>
    <definedName name="solver_rsd" localSheetId="4" hidden="1">0</definedName>
    <definedName name="solver_rsd" localSheetId="5" hidden="1">0</definedName>
    <definedName name="solver_rsd" localSheetId="6" hidden="1">0</definedName>
    <definedName name="solver_rsd" localSheetId="7" hidden="1">0</definedName>
    <definedName name="solver_rsd" localSheetId="8" hidden="1">0</definedName>
    <definedName name="solver_scl" localSheetId="3" hidden="1">2</definedName>
    <definedName name="solver_scl" localSheetId="2" hidden="1">2</definedName>
    <definedName name="solver_scl" localSheetId="4" hidden="1">2</definedName>
    <definedName name="solver_scl" localSheetId="5" hidden="1">2</definedName>
    <definedName name="solver_scl" localSheetId="6" hidden="1">2</definedName>
    <definedName name="solver_scl" localSheetId="7" hidden="1">2</definedName>
    <definedName name="solver_scl" localSheetId="8" hidden="1">2</definedName>
    <definedName name="solver_sho" localSheetId="3" hidden="1">2</definedName>
    <definedName name="solver_sho" localSheetId="2" hidden="1">2</definedName>
    <definedName name="solver_sho" localSheetId="4" hidden="1">2</definedName>
    <definedName name="solver_sho" localSheetId="5" hidden="1">2</definedName>
    <definedName name="solver_sho" localSheetId="6" hidden="1">2</definedName>
    <definedName name="solver_sho" localSheetId="7" hidden="1">2</definedName>
    <definedName name="solver_sho" localSheetId="8" hidden="1">2</definedName>
    <definedName name="solver_ssz" localSheetId="3" hidden="1">100</definedName>
    <definedName name="solver_ssz" localSheetId="2" hidden="1">100</definedName>
    <definedName name="solver_ssz" localSheetId="4" hidden="1">100</definedName>
    <definedName name="solver_ssz" localSheetId="5" hidden="1">100</definedName>
    <definedName name="solver_ssz" localSheetId="6" hidden="1">100</definedName>
    <definedName name="solver_ssz" localSheetId="7" hidden="1">100</definedName>
    <definedName name="solver_ssz" localSheetId="8" hidden="1">100</definedName>
    <definedName name="solver_tim" localSheetId="3" hidden="1">2147483647</definedName>
    <definedName name="solver_tim" localSheetId="2" hidden="1">2147483647</definedName>
    <definedName name="solver_tim" localSheetId="4" hidden="1">2147483647</definedName>
    <definedName name="solver_tim" localSheetId="5" hidden="1">2147483647</definedName>
    <definedName name="solver_tim" localSheetId="6" hidden="1">2147483647</definedName>
    <definedName name="solver_tim" localSheetId="7" hidden="1">2147483647</definedName>
    <definedName name="solver_tim" localSheetId="8" hidden="1">2147483647</definedName>
    <definedName name="solver_tol" localSheetId="3" hidden="1">0.01</definedName>
    <definedName name="solver_tol" localSheetId="2" hidden="1">0.01</definedName>
    <definedName name="solver_tol" localSheetId="4" hidden="1">0.01</definedName>
    <definedName name="solver_tol" localSheetId="5" hidden="1">0.01</definedName>
    <definedName name="solver_tol" localSheetId="6" hidden="1">0.01</definedName>
    <definedName name="solver_tol" localSheetId="7" hidden="1">0.01</definedName>
    <definedName name="solver_tol" localSheetId="8" hidden="1">0.01</definedName>
    <definedName name="solver_typ" localSheetId="3" hidden="1">1</definedName>
    <definedName name="solver_typ" localSheetId="2" hidden="1">2</definedName>
    <definedName name="solver_typ" localSheetId="4" hidden="1">1</definedName>
    <definedName name="solver_typ" localSheetId="5" hidden="1">1</definedName>
    <definedName name="solver_typ" localSheetId="6" hidden="1">1</definedName>
    <definedName name="solver_typ" localSheetId="7" hidden="1">1</definedName>
    <definedName name="solver_typ" localSheetId="8" hidden="1">1</definedName>
    <definedName name="solver_val" localSheetId="3" hidden="1">0</definedName>
    <definedName name="solver_val" localSheetId="2" hidden="1">0</definedName>
    <definedName name="solver_val" localSheetId="4" hidden="1">0</definedName>
    <definedName name="solver_val" localSheetId="5" hidden="1">0</definedName>
    <definedName name="solver_val" localSheetId="6" hidden="1">0</definedName>
    <definedName name="solver_val" localSheetId="7" hidden="1">0</definedName>
    <definedName name="solver_val" localSheetId="8" hidden="1">0</definedName>
    <definedName name="solver_ver" localSheetId="3" hidden="1">2</definedName>
    <definedName name="solver_ver" localSheetId="2" hidden="1">2</definedName>
    <definedName name="solver_ver" localSheetId="4" hidden="1">2</definedName>
    <definedName name="solver_ver" localSheetId="5" hidden="1">2</definedName>
    <definedName name="solver_ver" localSheetId="6" hidden="1">2</definedName>
    <definedName name="solver_ver" localSheetId="7" hidden="1">2</definedName>
    <definedName name="solver_ver" localSheetId="8" hidden="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6" l="1"/>
  <c r="C3" i="6"/>
  <c r="E7" i="11"/>
  <c r="D7" i="11"/>
  <c r="C7" i="11"/>
  <c r="B7" i="11"/>
  <c r="E7" i="10"/>
  <c r="D7" i="10"/>
  <c r="C7" i="10"/>
  <c r="B7" i="10"/>
  <c r="E7" i="9"/>
  <c r="D7" i="9"/>
  <c r="C7" i="9"/>
  <c r="B7" i="9"/>
  <c r="E7" i="8"/>
  <c r="D7" i="8"/>
  <c r="C7" i="8"/>
  <c r="B7" i="8"/>
  <c r="E7" i="7"/>
  <c r="D7" i="7"/>
  <c r="C7" i="7"/>
  <c r="B7" i="7"/>
  <c r="B16" i="6"/>
  <c r="B17" i="6" s="1"/>
  <c r="B18" i="6" s="1"/>
  <c r="B19" i="6" s="1"/>
  <c r="B20" i="6" s="1"/>
  <c r="E7" i="3"/>
  <c r="E7" i="5"/>
  <c r="D7" i="5"/>
  <c r="C7" i="5"/>
  <c r="B7" i="5"/>
  <c r="B7" i="3"/>
  <c r="D7" i="3"/>
  <c r="C7" i="3"/>
  <c r="C4" i="6" l="1"/>
  <c r="C5" i="6"/>
  <c r="C6" i="6" l="1"/>
  <c r="C7" i="6" l="1"/>
  <c r="C8" i="6"/>
</calcChain>
</file>

<file path=xl/sharedStrings.xml><?xml version="1.0" encoding="utf-8"?>
<sst xmlns="http://schemas.openxmlformats.org/spreadsheetml/2006/main" count="178" uniqueCount="55">
  <si>
    <t>Problem Statement</t>
  </si>
  <si>
    <r>
      <t>The United States plans to meet a projected electricity demand of 1000 MWh using four generation sources: Solar, Wind, Nuclear, and Fossil. Each source differs in cost and reliability, and is constrained by generation capacity and environmental policy.The goal is to determine the optimal mix that:
-</t>
    </r>
    <r>
      <rPr>
        <b/>
        <sz val="11"/>
        <color theme="1"/>
        <rFont val="Aptos Narrow (Body)"/>
      </rPr>
      <t xml:space="preserve">Minimizes total cost
-Maximizes overall reliability
</t>
    </r>
    <r>
      <rPr>
        <sz val="11"/>
        <color theme="1"/>
        <rFont val="Aptos Narrow (Body)"/>
      </rPr>
      <t xml:space="preserve">Subject to:
</t>
    </r>
    <r>
      <rPr>
        <b/>
        <sz val="11"/>
        <color theme="1"/>
        <rFont val="Aptos Narrow (Body)"/>
      </rPr>
      <t xml:space="preserve">A CO₂ emissions cap of 100 metric tons per year
Source capacity limits (as listed below)
Total generation must meet demand (1000 MWh) </t>
    </r>
  </si>
  <si>
    <t>Source Data</t>
  </si>
  <si>
    <t>Source</t>
  </si>
  <si>
    <t>Cost ($/MWh)</t>
  </si>
  <si>
    <t>Emission (tons/MWh)</t>
  </si>
  <si>
    <t>Reliability (%)</t>
  </si>
  <si>
    <t>Max Gen (MWh)</t>
  </si>
  <si>
    <t>Solar (S)</t>
  </si>
  <si>
    <t>Wind (W)</t>
  </si>
  <si>
    <t>Nuclear (N)</t>
  </si>
  <si>
    <t>Fossil (F)</t>
  </si>
  <si>
    <t>Group Members:</t>
  </si>
  <si>
    <t>Timothy (Ching Chen) Liu</t>
  </si>
  <si>
    <t>Revati Wankhede</t>
  </si>
  <si>
    <t>Azure (Yi-Ching Hsiao)</t>
  </si>
  <si>
    <t>Decision Variables</t>
  </si>
  <si>
    <t>S: MWh from Solar</t>
  </si>
  <si>
    <t>W: MWh from Wind</t>
  </si>
  <si>
    <t>N: MWh from Nuclear</t>
  </si>
  <si>
    <t>F: MWh from Fossil</t>
  </si>
  <si>
    <t>Constraints</t>
  </si>
  <si>
    <t>Total generation meets demand:</t>
  </si>
  <si>
    <t>S+W+N+F=1000</t>
  </si>
  <si>
    <t>Source capacity limits:</t>
  </si>
  <si>
    <t>0≤S≤400,  0≤W≤400,  0≤N≤300,  0≤F≤1000</t>
  </si>
  <si>
    <t>CO₂ emissions constraint (hard cap):</t>
  </si>
  <si>
    <t>0.40F≤100</t>
  </si>
  <si>
    <t>S, W, N, F, d1⁻, d1⁺, d2⁻, d2⁺, d3⁻, d3⁺ ≥ 0</t>
  </si>
  <si>
    <t>Objectives:</t>
  </si>
  <si>
    <t>Objective 1: Minimize Total Cost</t>
  </si>
  <si>
    <t>Cost=50S+52W+100N+40F</t>
  </si>
  <si>
    <t>Objective 2: Maximize Reliability</t>
  </si>
  <si>
    <t>Reliability= 0.25S+0.35W+0.95N+0.90F / 1000</t>
  </si>
  <si>
    <t>DV</t>
  </si>
  <si>
    <t>&lt;=</t>
  </si>
  <si>
    <t>Actual Amount</t>
  </si>
  <si>
    <t>Limit</t>
  </si>
  <si>
    <t>1000</t>
  </si>
  <si>
    <t>Min</t>
  </si>
  <si>
    <t>Max</t>
  </si>
  <si>
    <t>=</t>
  </si>
  <si>
    <t>P1:cost&lt;=</t>
  </si>
  <si>
    <t>P2:cost&lt;=</t>
  </si>
  <si>
    <t>P3:cost&lt;=</t>
  </si>
  <si>
    <t>P4:cost&lt;=</t>
  </si>
  <si>
    <t>P5:cost&lt;=</t>
  </si>
  <si>
    <t>Cost</t>
  </si>
  <si>
    <t>Reliability</t>
  </si>
  <si>
    <t>for the intermediate points obj: max profit</t>
  </si>
  <si>
    <t>turn to constrain the pollution</t>
  </si>
  <si>
    <t>Step</t>
  </si>
  <si>
    <t>rounded</t>
  </si>
  <si>
    <t>constraint to add</t>
  </si>
  <si>
    <t xml:space="preserve">Result Analysis:
After analyzing the Pareto frontier of cost vs. reliability, we recommend choosing the highest-reliability solution (Reliability = 0.66, Cost = $63,300).
While this is the most expensive option, it delivers the best performance in terms of reliability — a critical factor in real-world energy systems, which often require 90% average uptime to ensure grid stability and compliance with federal standards.
Even though none of our current options reach 90%, increasing reliability as much as possible under the given constraints is both practical and necessary.
In addition, since fossil fuels are both cheap and reliable, any government-imposed CO₂ emission caps (like our 100-ton limit) will inherently limit their use, which drives up cost if we still want to maintain reliability. In other words, high reliability under environmental constraints inevitably requires higher investment.
We recommend exploring higher-budget scenarios in future iterations to evaluate whether approaching or achieving the 90% threshold becomes feasible.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</si>
</sst>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x14ac:knownFonts="1">
    <font>
      <sz val="12"/>
      <color theme="1"/>
      <name val="Aptos Narrow"/>
      <family val="2"/>
      <scheme val="minor"/>
    </font>
    <font>
      <sz val="12"/>
      <color theme="1"/>
      <name val="Aptos Narrow"/>
      <family val="2"/>
      <scheme val="minor"/>
    </font>
    <font>
      <b/>
      <sz val="12"/>
      <color theme="1"/>
      <name val="Aptos Narrow"/>
      <family val="2"/>
      <scheme val="minor"/>
    </font>
    <font>
      <sz val="12"/>
      <color theme="0"/>
      <name val="Aptos Narrow"/>
      <family val="2"/>
      <scheme val="minor"/>
    </font>
    <font>
      <sz val="10"/>
      <color rgb="FF000000"/>
      <name val="Helvetica Neue"/>
      <family val="2"/>
    </font>
    <font>
      <b/>
      <sz val="10"/>
      <color rgb="FF000000"/>
      <name val="Helvetica Neue"/>
      <family val="2"/>
    </font>
    <font>
      <sz val="11"/>
      <color theme="1"/>
      <name val="Aptos Narrow (Body)"/>
    </font>
    <font>
      <b/>
      <sz val="11"/>
      <color theme="1"/>
      <name val="Aptos Narrow (Body)"/>
    </font>
    <font>
      <b/>
      <sz val="16"/>
      <color theme="0"/>
      <name val="Aptos Narrow"/>
      <scheme val="minor"/>
    </font>
    <font>
      <b/>
      <sz val="13.5"/>
      <color theme="0"/>
      <name val="Aptos Narrow"/>
      <family val="2"/>
      <scheme val="minor"/>
    </font>
    <font>
      <b/>
      <sz val="10"/>
      <color theme="0"/>
      <name val="Helvetica Neue"/>
      <family val="2"/>
    </font>
    <font>
      <sz val="11"/>
      <color rgb="FF000000"/>
      <name val="Aptos Narrow"/>
      <family val="2"/>
      <scheme val="minor"/>
    </font>
    <font>
      <sz val="11"/>
      <color theme="0"/>
      <name val="Aptos Narrow"/>
      <family val="2"/>
      <scheme val="minor"/>
    </font>
    <font>
      <b/>
      <sz val="11"/>
      <color rgb="FF000000"/>
      <name val="Aptos Narrow"/>
      <family val="2"/>
      <scheme val="minor"/>
    </font>
    <font>
      <sz val="13.5"/>
      <color theme="1"/>
      <name val="Aptos Narrow"/>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5" tint="-0.499984740745262"/>
        <bgColor indexed="64"/>
      </patternFill>
    </fill>
    <fill>
      <patternFill patternType="solid">
        <fgColor rgb="FFFFFDB7"/>
        <bgColor indexed="64"/>
      </patternFill>
    </fill>
    <fill>
      <patternFill patternType="solid">
        <fgColor theme="3" tint="0.89999084444715716"/>
        <bgColor indexed="64"/>
      </patternFill>
    </fill>
    <fill>
      <patternFill patternType="solid">
        <fgColor theme="3" tint="0.249977111117893"/>
        <bgColor indexed="64"/>
      </patternFill>
    </fill>
    <fill>
      <patternFill patternType="solid">
        <fgColor theme="9" tint="0.79998168889431442"/>
        <bgColor indexed="64"/>
      </patternFill>
    </fill>
    <fill>
      <patternFill patternType="solid">
        <fgColor rgb="FFD4D2F2"/>
        <bgColor indexed="64"/>
      </patternFill>
    </fill>
    <fill>
      <patternFill patternType="solid">
        <fgColor rgb="FFC00000"/>
        <bgColor indexed="64"/>
      </patternFill>
    </fill>
    <fill>
      <patternFill patternType="solid">
        <fgColor rgb="FFFFD0CD"/>
        <bgColor indexed="64"/>
      </patternFill>
    </fill>
    <fill>
      <patternFill patternType="solid">
        <fgColor theme="2"/>
        <bgColor indexed="64"/>
      </patternFill>
    </fill>
    <fill>
      <patternFill patternType="solid">
        <fgColor rgb="FFA6C9EC"/>
        <bgColor rgb="FF000000"/>
      </patternFill>
    </fill>
    <fill>
      <patternFill patternType="solid">
        <fgColor rgb="FF92D05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4">
    <xf numFmtId="0" fontId="0" fillId="0" borderId="0" xfId="0"/>
    <xf numFmtId="0" fontId="5" fillId="2" borderId="0" xfId="0" applyFont="1" applyFill="1"/>
    <xf numFmtId="0" fontId="5" fillId="4" borderId="0" xfId="0" applyFont="1" applyFill="1"/>
    <xf numFmtId="0" fontId="4" fillId="5" borderId="0" xfId="0" applyFont="1" applyFill="1"/>
    <xf numFmtId="0" fontId="9" fillId="6" borderId="0" xfId="0" applyFont="1" applyFill="1"/>
    <xf numFmtId="0" fontId="3" fillId="6" borderId="0" xfId="0" applyFont="1" applyFill="1"/>
    <xf numFmtId="0" fontId="0" fillId="5" borderId="0" xfId="0" applyFill="1"/>
    <xf numFmtId="0" fontId="2" fillId="5" borderId="0" xfId="0" applyFont="1" applyFill="1"/>
    <xf numFmtId="0" fontId="5" fillId="2" borderId="1" xfId="0" applyFont="1" applyFill="1" applyBorder="1"/>
    <xf numFmtId="0" fontId="10" fillId="3" borderId="1" xfId="0" applyFont="1" applyFill="1" applyBorder="1"/>
    <xf numFmtId="0" fontId="5" fillId="7" borderId="1" xfId="0" applyFont="1" applyFill="1" applyBorder="1"/>
    <xf numFmtId="0" fontId="4" fillId="5" borderId="1" xfId="0" applyFont="1" applyFill="1" applyBorder="1"/>
    <xf numFmtId="0" fontId="5" fillId="8" borderId="1" xfId="0" applyFont="1" applyFill="1" applyBorder="1"/>
    <xf numFmtId="9" fontId="4" fillId="5" borderId="1" xfId="0" applyNumberFormat="1" applyFont="1" applyFill="1" applyBorder="1"/>
    <xf numFmtId="0" fontId="11" fillId="0" borderId="0" xfId="0" applyFont="1"/>
    <xf numFmtId="0" fontId="11" fillId="11" borderId="1" xfId="0" applyFont="1" applyFill="1" applyBorder="1"/>
    <xf numFmtId="49" fontId="0" fillId="10" borderId="1" xfId="0" applyNumberFormat="1" applyFill="1" applyBorder="1" applyAlignment="1">
      <alignment horizontal="right"/>
    </xf>
    <xf numFmtId="0" fontId="12" fillId="9" borderId="1" xfId="0" applyFont="1" applyFill="1" applyBorder="1"/>
    <xf numFmtId="0" fontId="11" fillId="4" borderId="1" xfId="0" applyFont="1" applyFill="1" applyBorder="1"/>
    <xf numFmtId="9" fontId="11" fillId="4" borderId="1" xfId="1" applyFont="1" applyFill="1" applyBorder="1"/>
    <xf numFmtId="0" fontId="13" fillId="0" borderId="1" xfId="0" applyFont="1" applyBorder="1" applyAlignment="1">
      <alignment horizontal="center" vertical="center" wrapText="1"/>
    </xf>
    <xf numFmtId="4" fontId="11" fillId="12" borderId="1" xfId="0" applyNumberFormat="1" applyFont="1" applyFill="1" applyBorder="1"/>
    <xf numFmtId="4" fontId="11" fillId="0" borderId="1" xfId="0" applyNumberFormat="1" applyFont="1" applyBorder="1"/>
    <xf numFmtId="0" fontId="11" fillId="0" borderId="0" xfId="0" applyFont="1" applyAlignment="1">
      <alignment wrapText="1"/>
    </xf>
    <xf numFmtId="4" fontId="11" fillId="13" borderId="1" xfId="0" applyNumberFormat="1" applyFont="1" applyFill="1" applyBorder="1"/>
    <xf numFmtId="4" fontId="11" fillId="0" borderId="0" xfId="0" applyNumberFormat="1" applyFont="1" applyAlignment="1">
      <alignment wrapText="1"/>
    </xf>
    <xf numFmtId="4" fontId="11" fillId="0" borderId="0" xfId="0" applyNumberFormat="1" applyFont="1"/>
    <xf numFmtId="164" fontId="11" fillId="0" borderId="0" xfId="0" applyNumberFormat="1" applyFont="1"/>
    <xf numFmtId="0" fontId="0" fillId="0" borderId="0" xfId="0" applyAlignment="1">
      <alignment wrapText="1"/>
    </xf>
    <xf numFmtId="0" fontId="6" fillId="2" borderId="0" xfId="0" applyFont="1" applyFill="1" applyAlignment="1">
      <alignment horizontal="left" vertical="top" wrapText="1"/>
    </xf>
    <xf numFmtId="0" fontId="8" fillId="3" borderId="0" xfId="0" applyFont="1" applyFill="1" applyAlignment="1">
      <alignment horizontal="left" vertical="center"/>
    </xf>
    <xf numFmtId="0" fontId="9" fillId="6" borderId="0" xfId="0" applyFont="1" applyFill="1" applyAlignment="1">
      <alignment horizontal="left"/>
    </xf>
    <xf numFmtId="0" fontId="4" fillId="5" borderId="1" xfId="0" applyFont="1" applyFill="1" applyBorder="1" applyAlignment="1">
      <alignment horizontal="center" vertical="center"/>
    </xf>
    <xf numFmtId="0" fontId="14" fillId="4" borderId="0" xfId="0" applyFont="1" applyFill="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colors>
    <mruColors>
      <color rgb="FFFFFDB7"/>
      <color rgb="FFFFD0CD"/>
      <color rgb="FFD4D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W"/>
        </a:p>
      </c:txPr>
    </c:title>
    <c:autoTitleDeleted val="0"/>
    <c:plotArea>
      <c:layout/>
      <c:scatterChart>
        <c:scatterStyle val="lineMarker"/>
        <c:varyColors val="0"/>
        <c:ser>
          <c:idx val="0"/>
          <c:order val="0"/>
          <c:tx>
            <c:strRef>
              <c:f>'ParetoFront, Result&amp;Analysis'!$B$1</c:f>
              <c:strCache>
                <c:ptCount val="1"/>
                <c:pt idx="0">
                  <c:v>Reliability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'ParetoFront, Result&amp;Analysis'!$A$2:$A$8</c:f>
              <c:numCache>
                <c:formatCode>#,##0.00</c:formatCode>
                <c:ptCount val="7"/>
                <c:pt idx="0">
                  <c:v>48200</c:v>
                </c:pt>
                <c:pt idx="1">
                  <c:v>50700</c:v>
                </c:pt>
                <c:pt idx="2">
                  <c:v>53200</c:v>
                </c:pt>
                <c:pt idx="3">
                  <c:v>55700</c:v>
                </c:pt>
                <c:pt idx="4">
                  <c:v>58200</c:v>
                </c:pt>
                <c:pt idx="5">
                  <c:v>60700</c:v>
                </c:pt>
                <c:pt idx="6">
                  <c:v>63300</c:v>
                </c:pt>
              </c:numCache>
            </c:numRef>
          </c:xVal>
          <c:yVal>
            <c:numRef>
              <c:f>'ParetoFront, Result&amp;Analysis'!$B$2:$B$8</c:f>
              <c:numCache>
                <c:formatCode>#,##0.00</c:formatCode>
                <c:ptCount val="7"/>
                <c:pt idx="0">
                  <c:v>0.44750000000000001</c:v>
                </c:pt>
                <c:pt idx="1">
                  <c:v>0.49310000000000004</c:v>
                </c:pt>
                <c:pt idx="2">
                  <c:v>0.52110000000000012</c:v>
                </c:pt>
                <c:pt idx="3">
                  <c:v>0.55610000000000004</c:v>
                </c:pt>
                <c:pt idx="4">
                  <c:v>0.59109999999999996</c:v>
                </c:pt>
                <c:pt idx="5">
                  <c:v>0.63</c:v>
                </c:pt>
                <c:pt idx="6">
                  <c:v>0.66249999999999998</c:v>
                </c:pt>
              </c:numCache>
            </c:numRef>
          </c:yVal>
          <c:smooth val="0"/>
          <c:extLst>
            <c:ext xmlns:c16="http://schemas.microsoft.com/office/drawing/2014/chart" uri="{C3380CC4-5D6E-409C-BE32-E72D297353CC}">
              <c16:uniqueId val="{00000000-1859-7942-93EB-039DBE12E74A}"/>
            </c:ext>
          </c:extLst>
        </c:ser>
        <c:dLbls>
          <c:showLegendKey val="0"/>
          <c:showVal val="0"/>
          <c:showCatName val="0"/>
          <c:showSerName val="0"/>
          <c:showPercent val="0"/>
          <c:showBubbleSize val="0"/>
        </c:dLbls>
        <c:axId val="1943814896"/>
        <c:axId val="1943816608"/>
      </c:scatterChart>
      <c:valAx>
        <c:axId val="19438148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943816608"/>
        <c:crosses val="autoZero"/>
        <c:crossBetween val="midCat"/>
      </c:valAx>
      <c:valAx>
        <c:axId val="1943816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9438148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13</xdr:col>
      <xdr:colOff>50800</xdr:colOff>
      <xdr:row>18</xdr:row>
      <xdr:rowOff>63500</xdr:rowOff>
    </xdr:to>
    <xdr:graphicFrame macro="">
      <xdr:nvGraphicFramePr>
        <xdr:cNvPr id="2" name="Chart 1">
          <a:extLst>
            <a:ext uri="{FF2B5EF4-FFF2-40B4-BE49-F238E27FC236}">
              <a16:creationId xmlns:a16="http://schemas.microsoft.com/office/drawing/2014/main" id="{1AF9A634-1AE1-8F45-804F-F69F2DCC6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19050</xdr:colOff>
      <xdr:row>19</xdr:row>
      <xdr:rowOff>171450</xdr:rowOff>
    </xdr:to>
    <xdr:pic>
      <xdr:nvPicPr>
        <xdr:cNvPr id="2" name="Picture 1">
          <a:extLst>
            <a:ext uri="{FF2B5EF4-FFF2-40B4-BE49-F238E27FC236}">
              <a16:creationId xmlns:a16="http://schemas.microsoft.com/office/drawing/2014/main" id="{88F5D09D-9E6B-A202-B28F-9988B0FFCB91}"/>
            </a:ext>
          </a:extLst>
        </xdr:cNvPr>
        <xdr:cNvPicPr>
          <a:picLocks noChangeAspect="1"/>
        </xdr:cNvPicPr>
      </xdr:nvPicPr>
      <xdr:blipFill>
        <a:blip xmlns:r="http://schemas.openxmlformats.org/officeDocument/2006/relationships" r:embed="rId1"/>
        <a:stretch>
          <a:fillRect/>
        </a:stretch>
      </xdr:blipFill>
      <xdr:spPr>
        <a:xfrm>
          <a:off x="0" y="0"/>
          <a:ext cx="7562850" cy="3971925"/>
        </a:xfrm>
        <a:prstGeom prst="rect">
          <a:avLst/>
        </a:prstGeom>
      </xdr:spPr>
    </xdr:pic>
    <xdr:clientData/>
  </xdr:twoCellAnchor>
  <xdr:twoCellAnchor editAs="oneCell">
    <xdr:from>
      <xdr:col>11</xdr:col>
      <xdr:colOff>657225</xdr:colOff>
      <xdr:row>0</xdr:row>
      <xdr:rowOff>9525</xdr:rowOff>
    </xdr:from>
    <xdr:to>
      <xdr:col>23</xdr:col>
      <xdr:colOff>85725</xdr:colOff>
      <xdr:row>20</xdr:row>
      <xdr:rowOff>0</xdr:rowOff>
    </xdr:to>
    <xdr:pic>
      <xdr:nvPicPr>
        <xdr:cNvPr id="3" name="Picture 2">
          <a:extLst>
            <a:ext uri="{FF2B5EF4-FFF2-40B4-BE49-F238E27FC236}">
              <a16:creationId xmlns:a16="http://schemas.microsoft.com/office/drawing/2014/main" id="{4A5FAB34-019D-5633-4F9A-01CA073796D4}"/>
            </a:ext>
            <a:ext uri="{147F2762-F138-4A5C-976F-8EAC2B608ADB}">
              <a16:predDERef xmlns:a16="http://schemas.microsoft.com/office/drawing/2014/main" pred="{88F5D09D-9E6B-A202-B28F-9988B0FFCB91}"/>
            </a:ext>
          </a:extLst>
        </xdr:cNvPr>
        <xdr:cNvPicPr>
          <a:picLocks noChangeAspect="1"/>
        </xdr:cNvPicPr>
      </xdr:nvPicPr>
      <xdr:blipFill>
        <a:blip xmlns:r="http://schemas.openxmlformats.org/officeDocument/2006/relationships" r:embed="rId2"/>
        <a:stretch>
          <a:fillRect/>
        </a:stretch>
      </xdr:blipFill>
      <xdr:spPr>
        <a:xfrm>
          <a:off x="8201025" y="9525"/>
          <a:ext cx="7658100" cy="39909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E4518-86E8-AD41-8823-C6B81E649828}">
  <sheetPr codeName="Sheet1"/>
  <dimension ref="A1:L21"/>
  <sheetViews>
    <sheetView tabSelected="1" topLeftCell="A5" workbookViewId="0">
      <selection activeCell="C22" sqref="C22"/>
    </sheetView>
  </sheetViews>
  <sheetFormatPr baseColWidth="10" defaultColWidth="11" defaultRowHeight="16" x14ac:dyDescent="0.2"/>
  <cols>
    <col min="1" max="1" width="13.6640625" customWidth="1"/>
    <col min="2" max="2" width="21.83203125" customWidth="1"/>
    <col min="3" max="3" width="18.6640625" customWidth="1"/>
    <col min="4" max="4" width="14.83203125" customWidth="1"/>
    <col min="5" max="5" width="15" customWidth="1"/>
    <col min="6" max="6" width="15.33203125" customWidth="1"/>
  </cols>
  <sheetData>
    <row r="1" spans="1:12" ht="28" customHeight="1" x14ac:dyDescent="0.2">
      <c r="A1" s="30" t="s">
        <v>0</v>
      </c>
      <c r="B1" s="30"/>
      <c r="C1" s="30"/>
      <c r="D1" s="30"/>
      <c r="E1" s="30"/>
      <c r="F1" s="30"/>
      <c r="G1" s="30"/>
      <c r="H1" s="30"/>
      <c r="I1" s="30"/>
      <c r="J1" s="30"/>
      <c r="K1" s="30"/>
      <c r="L1" s="30"/>
    </row>
    <row r="2" spans="1:12" ht="60" customHeight="1" x14ac:dyDescent="0.2">
      <c r="A2" s="29" t="s">
        <v>1</v>
      </c>
      <c r="B2" s="29"/>
      <c r="C2" s="29"/>
      <c r="D2" s="29"/>
      <c r="E2" s="29"/>
      <c r="F2" s="29"/>
      <c r="G2" s="29"/>
      <c r="H2" s="29"/>
      <c r="I2" s="29"/>
      <c r="J2" s="29"/>
      <c r="K2" s="29"/>
      <c r="L2" s="29"/>
    </row>
    <row r="3" spans="1:12" x14ac:dyDescent="0.2">
      <c r="A3" s="29"/>
      <c r="B3" s="29"/>
      <c r="C3" s="29"/>
      <c r="D3" s="29"/>
      <c r="E3" s="29"/>
      <c r="F3" s="29"/>
      <c r="G3" s="29"/>
      <c r="H3" s="29"/>
      <c r="I3" s="29"/>
      <c r="J3" s="29"/>
      <c r="K3" s="29"/>
      <c r="L3" s="29"/>
    </row>
    <row r="4" spans="1:12" x14ac:dyDescent="0.2">
      <c r="A4" s="29"/>
      <c r="B4" s="29"/>
      <c r="C4" s="29"/>
      <c r="D4" s="29"/>
      <c r="E4" s="29"/>
      <c r="F4" s="29"/>
      <c r="G4" s="29"/>
      <c r="H4" s="29"/>
      <c r="I4" s="29"/>
      <c r="J4" s="29"/>
      <c r="K4" s="29"/>
      <c r="L4" s="29"/>
    </row>
    <row r="5" spans="1:12" x14ac:dyDescent="0.2">
      <c r="A5" s="29"/>
      <c r="B5" s="29"/>
      <c r="C5" s="29"/>
      <c r="D5" s="29"/>
      <c r="E5" s="29"/>
      <c r="F5" s="29"/>
      <c r="G5" s="29"/>
      <c r="H5" s="29"/>
      <c r="I5" s="29"/>
      <c r="J5" s="29"/>
      <c r="K5" s="29"/>
      <c r="L5" s="29"/>
    </row>
    <row r="6" spans="1:12" x14ac:dyDescent="0.2">
      <c r="A6" s="29"/>
      <c r="B6" s="29"/>
      <c r="C6" s="29"/>
      <c r="D6" s="29"/>
      <c r="E6" s="29"/>
      <c r="F6" s="29"/>
      <c r="G6" s="29"/>
      <c r="H6" s="29"/>
      <c r="I6" s="29"/>
      <c r="J6" s="29"/>
      <c r="K6" s="29"/>
      <c r="L6" s="29"/>
    </row>
    <row r="7" spans="1:12" x14ac:dyDescent="0.2">
      <c r="A7" s="29"/>
      <c r="B7" s="29"/>
      <c r="C7" s="29"/>
      <c r="D7" s="29"/>
      <c r="E7" s="29"/>
      <c r="F7" s="29"/>
      <c r="G7" s="29"/>
      <c r="H7" s="29"/>
      <c r="I7" s="29"/>
      <c r="J7" s="29"/>
      <c r="K7" s="29"/>
      <c r="L7" s="29"/>
    </row>
    <row r="8" spans="1:12" x14ac:dyDescent="0.2">
      <c r="A8" s="29"/>
      <c r="B8" s="29"/>
      <c r="C8" s="29"/>
      <c r="D8" s="29"/>
      <c r="E8" s="29"/>
      <c r="F8" s="29"/>
      <c r="G8" s="29"/>
      <c r="H8" s="29"/>
      <c r="I8" s="29"/>
      <c r="J8" s="29"/>
      <c r="K8" s="29"/>
      <c r="L8" s="29"/>
    </row>
    <row r="9" spans="1:12" x14ac:dyDescent="0.2">
      <c r="A9" s="29"/>
      <c r="B9" s="29"/>
      <c r="C9" s="29"/>
      <c r="D9" s="29"/>
      <c r="E9" s="29"/>
      <c r="F9" s="29"/>
      <c r="G9" s="29"/>
      <c r="H9" s="29"/>
      <c r="I9" s="29"/>
      <c r="J9" s="29"/>
      <c r="K9" s="29"/>
      <c r="L9" s="29"/>
    </row>
    <row r="11" spans="1:12" ht="37" customHeight="1" x14ac:dyDescent="0.2">
      <c r="A11" s="30" t="s">
        <v>2</v>
      </c>
      <c r="B11" s="30"/>
      <c r="C11" s="30"/>
      <c r="D11" s="30"/>
      <c r="E11" s="30"/>
      <c r="F11" s="30"/>
      <c r="G11" s="30"/>
      <c r="H11" s="30"/>
      <c r="I11" s="30"/>
      <c r="J11" s="30"/>
      <c r="K11" s="30"/>
      <c r="L11" s="30"/>
    </row>
    <row r="12" spans="1:12" x14ac:dyDescent="0.2">
      <c r="A12" s="1" t="s">
        <v>3</v>
      </c>
      <c r="B12" s="1" t="s">
        <v>4</v>
      </c>
      <c r="C12" s="1" t="s">
        <v>5</v>
      </c>
      <c r="D12" s="1" t="s">
        <v>6</v>
      </c>
      <c r="E12" s="1" t="s">
        <v>7</v>
      </c>
    </row>
    <row r="13" spans="1:12" x14ac:dyDescent="0.2">
      <c r="A13" s="2" t="s">
        <v>8</v>
      </c>
      <c r="B13" s="3">
        <v>50</v>
      </c>
      <c r="C13" s="3">
        <v>0</v>
      </c>
      <c r="D13" s="3">
        <v>25</v>
      </c>
      <c r="E13" s="3">
        <v>400</v>
      </c>
    </row>
    <row r="14" spans="1:12" x14ac:dyDescent="0.2">
      <c r="A14" s="2" t="s">
        <v>9</v>
      </c>
      <c r="B14" s="3">
        <v>52</v>
      </c>
      <c r="C14" s="3">
        <v>0</v>
      </c>
      <c r="D14" s="3">
        <v>35</v>
      </c>
      <c r="E14" s="3">
        <v>400</v>
      </c>
    </row>
    <row r="15" spans="1:12" x14ac:dyDescent="0.2">
      <c r="A15" s="2" t="s">
        <v>10</v>
      </c>
      <c r="B15" s="3">
        <v>100</v>
      </c>
      <c r="C15" s="3">
        <v>0</v>
      </c>
      <c r="D15" s="3">
        <v>95</v>
      </c>
      <c r="E15" s="3">
        <v>300</v>
      </c>
    </row>
    <row r="16" spans="1:12" x14ac:dyDescent="0.2">
      <c r="A16" s="2" t="s">
        <v>11</v>
      </c>
      <c r="B16" s="3">
        <v>40</v>
      </c>
      <c r="C16" s="3">
        <v>0.4</v>
      </c>
      <c r="D16" s="3">
        <v>90</v>
      </c>
      <c r="E16" s="3">
        <v>1000</v>
      </c>
    </row>
    <row r="19" spans="1:2" x14ac:dyDescent="0.2">
      <c r="A19" t="s">
        <v>12</v>
      </c>
      <c r="B19" t="s">
        <v>13</v>
      </c>
    </row>
    <row r="20" spans="1:2" ht="17" x14ac:dyDescent="0.2">
      <c r="B20" s="28" t="s">
        <v>14</v>
      </c>
    </row>
    <row r="21" spans="1:2" x14ac:dyDescent="0.2">
      <c r="B21" t="s">
        <v>15</v>
      </c>
    </row>
  </sheetData>
  <mergeCells count="3">
    <mergeCell ref="A2:L9"/>
    <mergeCell ref="A1:L1"/>
    <mergeCell ref="A11:L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F7D92-6E63-CB4C-8D80-E18D871047DD}">
  <sheetPr codeName="Sheet2"/>
  <dimension ref="A1:C24"/>
  <sheetViews>
    <sheetView workbookViewId="0">
      <selection activeCell="E10" sqref="E10"/>
    </sheetView>
  </sheetViews>
  <sheetFormatPr baseColWidth="10" defaultColWidth="11" defaultRowHeight="16" x14ac:dyDescent="0.2"/>
  <cols>
    <col min="2" max="2" width="26.33203125" customWidth="1"/>
    <col min="3" max="3" width="12.83203125" customWidth="1"/>
  </cols>
  <sheetData>
    <row r="1" spans="1:3" ht="19" x14ac:dyDescent="0.25">
      <c r="A1" s="4" t="s">
        <v>16</v>
      </c>
      <c r="B1" s="5"/>
    </row>
    <row r="2" spans="1:3" x14ac:dyDescent="0.2">
      <c r="A2" s="6" t="s">
        <v>17</v>
      </c>
      <c r="B2" s="6"/>
    </row>
    <row r="3" spans="1:3" x14ac:dyDescent="0.2">
      <c r="A3" s="6" t="s">
        <v>18</v>
      </c>
      <c r="B3" s="6"/>
    </row>
    <row r="4" spans="1:3" x14ac:dyDescent="0.2">
      <c r="A4" s="6" t="s">
        <v>19</v>
      </c>
      <c r="B4" s="6"/>
    </row>
    <row r="5" spans="1:3" x14ac:dyDescent="0.2">
      <c r="A5" s="6" t="s">
        <v>20</v>
      </c>
      <c r="B5" s="6"/>
    </row>
    <row r="7" spans="1:3" ht="19" x14ac:dyDescent="0.25">
      <c r="A7" s="31" t="s">
        <v>21</v>
      </c>
      <c r="B7" s="31"/>
      <c r="C7" s="31"/>
    </row>
    <row r="8" spans="1:3" x14ac:dyDescent="0.2">
      <c r="A8" s="7" t="s">
        <v>22</v>
      </c>
      <c r="B8" s="6"/>
      <c r="C8" s="6"/>
    </row>
    <row r="9" spans="1:3" x14ac:dyDescent="0.2">
      <c r="A9" s="6" t="s">
        <v>23</v>
      </c>
      <c r="B9" s="6"/>
      <c r="C9" s="6"/>
    </row>
    <row r="11" spans="1:3" x14ac:dyDescent="0.2">
      <c r="A11" s="7" t="s">
        <v>24</v>
      </c>
      <c r="B11" s="6"/>
      <c r="C11" s="6"/>
    </row>
    <row r="12" spans="1:3" x14ac:dyDescent="0.2">
      <c r="A12" s="6" t="s">
        <v>25</v>
      </c>
      <c r="B12" s="6"/>
      <c r="C12" s="6"/>
    </row>
    <row r="14" spans="1:3" x14ac:dyDescent="0.2">
      <c r="A14" s="7" t="s">
        <v>26</v>
      </c>
      <c r="B14" s="6"/>
      <c r="C14" s="6"/>
    </row>
    <row r="15" spans="1:3" x14ac:dyDescent="0.2">
      <c r="A15" s="6" t="s">
        <v>27</v>
      </c>
      <c r="B15" s="6"/>
      <c r="C15" s="6"/>
    </row>
    <row r="17" spans="1:3" x14ac:dyDescent="0.2">
      <c r="A17" s="6" t="s">
        <v>28</v>
      </c>
      <c r="B17" s="6"/>
      <c r="C17" s="6"/>
    </row>
    <row r="19" spans="1:3" ht="19" x14ac:dyDescent="0.25">
      <c r="A19" s="31" t="s">
        <v>29</v>
      </c>
      <c r="B19" s="31"/>
      <c r="C19" s="31"/>
    </row>
    <row r="20" spans="1:3" x14ac:dyDescent="0.2">
      <c r="A20" s="6" t="s">
        <v>30</v>
      </c>
      <c r="B20" s="6"/>
      <c r="C20" s="6"/>
    </row>
    <row r="21" spans="1:3" x14ac:dyDescent="0.2">
      <c r="A21" s="6" t="s">
        <v>31</v>
      </c>
      <c r="B21" s="6"/>
      <c r="C21" s="6"/>
    </row>
    <row r="23" spans="1:3" x14ac:dyDescent="0.2">
      <c r="A23" s="6" t="s">
        <v>32</v>
      </c>
      <c r="B23" s="6"/>
      <c r="C23" s="6"/>
    </row>
    <row r="24" spans="1:3" x14ac:dyDescent="0.2">
      <c r="A24" s="6" t="s">
        <v>33</v>
      </c>
      <c r="B24" s="6"/>
      <c r="C24" s="6"/>
    </row>
  </sheetData>
  <mergeCells count="2">
    <mergeCell ref="A7:C7"/>
    <mergeCell ref="A19:C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DDF4C-08EA-8D46-9E5D-F6F80FE64E1E}">
  <sheetPr codeName="Sheet3"/>
  <dimension ref="A1:G9"/>
  <sheetViews>
    <sheetView workbookViewId="0">
      <selection activeCell="E7" sqref="E7"/>
    </sheetView>
  </sheetViews>
  <sheetFormatPr baseColWidth="10" defaultColWidth="11" defaultRowHeight="16" x14ac:dyDescent="0.2"/>
  <cols>
    <col min="1" max="1" width="14" customWidth="1"/>
    <col min="2" max="2" width="12.6640625" customWidth="1"/>
    <col min="3" max="3" width="15.33203125" customWidth="1"/>
    <col min="4" max="4" width="21.6640625" customWidth="1"/>
    <col min="5" max="6" width="21.1640625" customWidth="1"/>
    <col min="7" max="7" width="16" customWidth="1"/>
  </cols>
  <sheetData>
    <row r="1" spans="1:7" x14ac:dyDescent="0.2">
      <c r="A1" s="8" t="s">
        <v>3</v>
      </c>
      <c r="B1" s="9" t="s">
        <v>34</v>
      </c>
      <c r="C1" s="8" t="s">
        <v>4</v>
      </c>
      <c r="D1" s="8" t="s">
        <v>5</v>
      </c>
      <c r="E1" s="8" t="s">
        <v>6</v>
      </c>
      <c r="F1" s="8"/>
      <c r="G1" s="8" t="s">
        <v>7</v>
      </c>
    </row>
    <row r="2" spans="1:7" x14ac:dyDescent="0.2">
      <c r="A2" s="12" t="s">
        <v>8</v>
      </c>
      <c r="B2" s="10">
        <v>400</v>
      </c>
      <c r="C2" s="11">
        <v>50</v>
      </c>
      <c r="D2" s="11">
        <v>0</v>
      </c>
      <c r="E2" s="13">
        <v>0.25</v>
      </c>
      <c r="F2" s="32" t="s">
        <v>35</v>
      </c>
      <c r="G2" s="11">
        <v>400</v>
      </c>
    </row>
    <row r="3" spans="1:7" x14ac:dyDescent="0.2">
      <c r="A3" s="12" t="s">
        <v>9</v>
      </c>
      <c r="B3" s="10">
        <v>350</v>
      </c>
      <c r="C3" s="11">
        <v>52</v>
      </c>
      <c r="D3" s="11">
        <v>0</v>
      </c>
      <c r="E3" s="13">
        <v>0.35</v>
      </c>
      <c r="F3" s="32"/>
      <c r="G3" s="11">
        <v>400</v>
      </c>
    </row>
    <row r="4" spans="1:7" x14ac:dyDescent="0.2">
      <c r="A4" s="12" t="s">
        <v>10</v>
      </c>
      <c r="B4" s="10">
        <v>0</v>
      </c>
      <c r="C4" s="11">
        <v>100</v>
      </c>
      <c r="D4" s="11">
        <v>0</v>
      </c>
      <c r="E4" s="13">
        <v>0.95</v>
      </c>
      <c r="F4" s="32"/>
      <c r="G4" s="11">
        <v>300</v>
      </c>
    </row>
    <row r="5" spans="1:7" x14ac:dyDescent="0.2">
      <c r="A5" s="12" t="s">
        <v>11</v>
      </c>
      <c r="B5" s="10">
        <v>250</v>
      </c>
      <c r="C5" s="11">
        <v>40</v>
      </c>
      <c r="D5" s="11">
        <v>0.4</v>
      </c>
      <c r="E5" s="13">
        <v>0.9</v>
      </c>
      <c r="F5" s="32"/>
      <c r="G5" s="11">
        <v>1000</v>
      </c>
    </row>
    <row r="7" spans="1:7" x14ac:dyDescent="0.2">
      <c r="A7" s="15" t="s">
        <v>36</v>
      </c>
      <c r="B7" s="18">
        <f>SUM(B2:B5)</f>
        <v>1000</v>
      </c>
      <c r="C7" s="18">
        <f>SUMPRODUCT($B$2:$B$5,C2:C5)</f>
        <v>48200</v>
      </c>
      <c r="D7" s="18">
        <f t="shared" ref="D7" si="0">SUMPRODUCT($B$2:$B$5,D2:D5)</f>
        <v>100</v>
      </c>
      <c r="E7" s="19">
        <f>SUMPRODUCT($B$2:$B$5,E2:E5)/1000</f>
        <v>0.44750000000000001</v>
      </c>
      <c r="F7" s="14"/>
    </row>
    <row r="8" spans="1:7" x14ac:dyDescent="0.2">
      <c r="A8" s="15" t="s">
        <v>37</v>
      </c>
      <c r="B8" s="16" t="s">
        <v>38</v>
      </c>
      <c r="C8" s="17" t="s">
        <v>39</v>
      </c>
      <c r="D8" s="16">
        <v>100</v>
      </c>
      <c r="E8" s="17" t="s">
        <v>40</v>
      </c>
      <c r="F8" s="14"/>
    </row>
    <row r="9" spans="1:7" x14ac:dyDescent="0.2">
      <c r="B9" t="s">
        <v>41</v>
      </c>
      <c r="C9" s="14"/>
      <c r="D9" t="s">
        <v>35</v>
      </c>
      <c r="E9" s="14"/>
    </row>
  </sheetData>
  <mergeCells count="1">
    <mergeCell ref="F2:F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290A-4E6D-A142-8F50-B86DB04D73FA}">
  <sheetPr codeName="Sheet4"/>
  <dimension ref="A1:G9"/>
  <sheetViews>
    <sheetView workbookViewId="0">
      <selection activeCell="E7" sqref="E7"/>
    </sheetView>
  </sheetViews>
  <sheetFormatPr baseColWidth="10" defaultColWidth="11" defaultRowHeight="16" x14ac:dyDescent="0.2"/>
  <cols>
    <col min="1" max="1" width="14" customWidth="1"/>
    <col min="2" max="2" width="12.6640625" customWidth="1"/>
    <col min="3" max="3" width="15.33203125" customWidth="1"/>
    <col min="4" max="4" width="21.6640625" customWidth="1"/>
    <col min="5" max="6" width="21.1640625" customWidth="1"/>
    <col min="7" max="7" width="16" customWidth="1"/>
  </cols>
  <sheetData>
    <row r="1" spans="1:7" x14ac:dyDescent="0.2">
      <c r="A1" s="8" t="s">
        <v>3</v>
      </c>
      <c r="B1" s="9" t="s">
        <v>34</v>
      </c>
      <c r="C1" s="8" t="s">
        <v>4</v>
      </c>
      <c r="D1" s="8" t="s">
        <v>5</v>
      </c>
      <c r="E1" s="8" t="s">
        <v>6</v>
      </c>
      <c r="F1" s="8"/>
      <c r="G1" s="8" t="s">
        <v>7</v>
      </c>
    </row>
    <row r="2" spans="1:7" x14ac:dyDescent="0.2">
      <c r="A2" s="12" t="s">
        <v>8</v>
      </c>
      <c r="B2" s="10">
        <v>50</v>
      </c>
      <c r="C2" s="11">
        <v>50</v>
      </c>
      <c r="D2" s="11">
        <v>0</v>
      </c>
      <c r="E2" s="13">
        <v>0.25</v>
      </c>
      <c r="F2" s="32" t="s">
        <v>35</v>
      </c>
      <c r="G2" s="11">
        <v>400</v>
      </c>
    </row>
    <row r="3" spans="1:7" x14ac:dyDescent="0.2">
      <c r="A3" s="12" t="s">
        <v>9</v>
      </c>
      <c r="B3" s="10">
        <v>400</v>
      </c>
      <c r="C3" s="11">
        <v>52</v>
      </c>
      <c r="D3" s="11">
        <v>0</v>
      </c>
      <c r="E3" s="13">
        <v>0.35</v>
      </c>
      <c r="F3" s="32"/>
      <c r="G3" s="11">
        <v>400</v>
      </c>
    </row>
    <row r="4" spans="1:7" x14ac:dyDescent="0.2">
      <c r="A4" s="12" t="s">
        <v>10</v>
      </c>
      <c r="B4" s="10">
        <v>300</v>
      </c>
      <c r="C4" s="11">
        <v>100</v>
      </c>
      <c r="D4" s="11">
        <v>0</v>
      </c>
      <c r="E4" s="13">
        <v>0.95</v>
      </c>
      <c r="F4" s="32"/>
      <c r="G4" s="11">
        <v>300</v>
      </c>
    </row>
    <row r="5" spans="1:7" x14ac:dyDescent="0.2">
      <c r="A5" s="12" t="s">
        <v>11</v>
      </c>
      <c r="B5" s="10">
        <v>250</v>
      </c>
      <c r="C5" s="11">
        <v>40</v>
      </c>
      <c r="D5" s="11">
        <v>0.4</v>
      </c>
      <c r="E5" s="13">
        <v>0.9</v>
      </c>
      <c r="F5" s="32"/>
      <c r="G5" s="11">
        <v>1000</v>
      </c>
    </row>
    <row r="7" spans="1:7" x14ac:dyDescent="0.2">
      <c r="A7" s="15" t="s">
        <v>36</v>
      </c>
      <c r="B7" s="18">
        <f>SUM(B2:B5)</f>
        <v>1000</v>
      </c>
      <c r="C7" s="18">
        <f>SUMPRODUCT($B$2:$B$5,C2:C5)</f>
        <v>63300</v>
      </c>
      <c r="D7" s="18">
        <f t="shared" ref="D7" si="0">SUMPRODUCT($B$2:$B$5,D2:D5)</f>
        <v>100</v>
      </c>
      <c r="E7" s="19">
        <f>SUMPRODUCT($B$2:$B$5,E2:E5)/1000</f>
        <v>0.66249999999999998</v>
      </c>
      <c r="F7" s="14"/>
    </row>
    <row r="8" spans="1:7" x14ac:dyDescent="0.2">
      <c r="A8" s="15" t="s">
        <v>37</v>
      </c>
      <c r="B8" s="16" t="s">
        <v>38</v>
      </c>
      <c r="C8" s="17" t="s">
        <v>39</v>
      </c>
      <c r="D8" s="16">
        <v>100</v>
      </c>
      <c r="E8" s="17" t="s">
        <v>40</v>
      </c>
      <c r="F8" s="14"/>
    </row>
    <row r="9" spans="1:7" x14ac:dyDescent="0.2">
      <c r="B9" t="s">
        <v>41</v>
      </c>
      <c r="C9" s="14"/>
      <c r="D9" t="s">
        <v>35</v>
      </c>
      <c r="E9" s="14"/>
    </row>
  </sheetData>
  <mergeCells count="1">
    <mergeCell ref="F2:F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81906-4807-5441-AF48-792BDD1E35E9}">
  <sheetPr codeName="Sheet10"/>
  <dimension ref="A1:G11"/>
  <sheetViews>
    <sheetView workbookViewId="0">
      <selection activeCell="E7" sqref="E7"/>
    </sheetView>
  </sheetViews>
  <sheetFormatPr baseColWidth="10" defaultColWidth="11" defaultRowHeight="16" x14ac:dyDescent="0.2"/>
  <cols>
    <col min="1" max="1" width="14" customWidth="1"/>
    <col min="2" max="2" width="12.6640625" customWidth="1"/>
    <col min="3" max="3" width="15.33203125" customWidth="1"/>
    <col min="4" max="4" width="21.6640625" customWidth="1"/>
    <col min="5" max="6" width="21.1640625" customWidth="1"/>
    <col min="7" max="7" width="16" customWidth="1"/>
  </cols>
  <sheetData>
    <row r="1" spans="1:7" x14ac:dyDescent="0.2">
      <c r="A1" s="8" t="s">
        <v>3</v>
      </c>
      <c r="B1" s="9" t="s">
        <v>34</v>
      </c>
      <c r="C1" s="8" t="s">
        <v>4</v>
      </c>
      <c r="D1" s="8" t="s">
        <v>5</v>
      </c>
      <c r="E1" s="8" t="s">
        <v>6</v>
      </c>
      <c r="F1" s="8"/>
      <c r="G1" s="8" t="s">
        <v>7</v>
      </c>
    </row>
    <row r="2" spans="1:7" x14ac:dyDescent="0.2">
      <c r="A2" s="12" t="s">
        <v>8</v>
      </c>
      <c r="B2" s="10">
        <v>302</v>
      </c>
      <c r="C2" s="11">
        <v>50</v>
      </c>
      <c r="D2" s="11">
        <v>0</v>
      </c>
      <c r="E2" s="13">
        <v>0.25</v>
      </c>
      <c r="F2" s="32" t="s">
        <v>35</v>
      </c>
      <c r="G2" s="11">
        <v>400</v>
      </c>
    </row>
    <row r="3" spans="1:7" x14ac:dyDescent="0.2">
      <c r="A3" s="12" t="s">
        <v>9</v>
      </c>
      <c r="B3" s="10">
        <v>400</v>
      </c>
      <c r="C3" s="11">
        <v>52</v>
      </c>
      <c r="D3" s="11">
        <v>0</v>
      </c>
      <c r="E3" s="13">
        <v>0.35</v>
      </c>
      <c r="F3" s="32"/>
      <c r="G3" s="11">
        <v>400</v>
      </c>
    </row>
    <row r="4" spans="1:7" x14ac:dyDescent="0.2">
      <c r="A4" s="12" t="s">
        <v>10</v>
      </c>
      <c r="B4" s="10">
        <v>47.999999999999993</v>
      </c>
      <c r="C4" s="11">
        <v>100</v>
      </c>
      <c r="D4" s="11">
        <v>0</v>
      </c>
      <c r="E4" s="13">
        <v>0.95</v>
      </c>
      <c r="F4" s="32"/>
      <c r="G4" s="11">
        <v>300</v>
      </c>
    </row>
    <row r="5" spans="1:7" x14ac:dyDescent="0.2">
      <c r="A5" s="12" t="s">
        <v>11</v>
      </c>
      <c r="B5" s="10">
        <v>250.00000000000006</v>
      </c>
      <c r="C5" s="11">
        <v>40</v>
      </c>
      <c r="D5" s="11">
        <v>0.4</v>
      </c>
      <c r="E5" s="13">
        <v>0.9</v>
      </c>
      <c r="F5" s="32"/>
      <c r="G5" s="11">
        <v>1000</v>
      </c>
    </row>
    <row r="7" spans="1:7" x14ac:dyDescent="0.2">
      <c r="A7" s="15" t="s">
        <v>36</v>
      </c>
      <c r="B7" s="18">
        <f>SUM(B2:B5)</f>
        <v>1000</v>
      </c>
      <c r="C7" s="18">
        <f>SUMPRODUCT($B$2:$B$5,C2:C5)</f>
        <v>50700</v>
      </c>
      <c r="D7" s="18">
        <f t="shared" ref="D7" si="0">SUMPRODUCT($B$2:$B$5,D2:D5)</f>
        <v>100.00000000000003</v>
      </c>
      <c r="E7" s="19">
        <f>SUMPRODUCT($B$2:$B$5,E2:E5)/1000</f>
        <v>0.48610000000000009</v>
      </c>
      <c r="F7" s="14"/>
    </row>
    <row r="8" spans="1:7" x14ac:dyDescent="0.2">
      <c r="A8" s="15" t="s">
        <v>37</v>
      </c>
      <c r="B8" s="16" t="s">
        <v>38</v>
      </c>
      <c r="C8" s="17" t="s">
        <v>39</v>
      </c>
      <c r="D8" s="16">
        <v>100</v>
      </c>
      <c r="E8" s="17" t="s">
        <v>40</v>
      </c>
      <c r="F8" s="14"/>
    </row>
    <row r="9" spans="1:7" x14ac:dyDescent="0.2">
      <c r="B9" t="s">
        <v>41</v>
      </c>
      <c r="C9" s="14"/>
      <c r="D9" t="s">
        <v>35</v>
      </c>
      <c r="E9" s="14"/>
    </row>
    <row r="11" spans="1:7" x14ac:dyDescent="0.2">
      <c r="A11" t="s">
        <v>42</v>
      </c>
      <c r="B11">
        <v>50700</v>
      </c>
    </row>
  </sheetData>
  <mergeCells count="1">
    <mergeCell ref="F2:F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E5B2E-82ED-214D-B1A4-104A96E4F942}">
  <sheetPr codeName="Sheet8"/>
  <dimension ref="A1:G12"/>
  <sheetViews>
    <sheetView workbookViewId="0">
      <selection activeCell="E7" sqref="E7"/>
    </sheetView>
  </sheetViews>
  <sheetFormatPr baseColWidth="10" defaultColWidth="11" defaultRowHeight="16" x14ac:dyDescent="0.2"/>
  <cols>
    <col min="1" max="1" width="14" customWidth="1"/>
    <col min="2" max="2" width="12.6640625" customWidth="1"/>
    <col min="3" max="3" width="15.33203125" customWidth="1"/>
    <col min="4" max="4" width="21.6640625" customWidth="1"/>
    <col min="5" max="6" width="21.1640625" customWidth="1"/>
    <col min="7" max="7" width="16" customWidth="1"/>
  </cols>
  <sheetData>
    <row r="1" spans="1:7" x14ac:dyDescent="0.2">
      <c r="A1" s="8" t="s">
        <v>3</v>
      </c>
      <c r="B1" s="9" t="s">
        <v>34</v>
      </c>
      <c r="C1" s="8" t="s">
        <v>4</v>
      </c>
      <c r="D1" s="8" t="s">
        <v>5</v>
      </c>
      <c r="E1" s="8" t="s">
        <v>6</v>
      </c>
      <c r="F1" s="8"/>
      <c r="G1" s="8" t="s">
        <v>7</v>
      </c>
    </row>
    <row r="2" spans="1:7" x14ac:dyDescent="0.2">
      <c r="A2" s="12" t="s">
        <v>8</v>
      </c>
      <c r="B2" s="10">
        <v>252</v>
      </c>
      <c r="C2" s="11">
        <v>50</v>
      </c>
      <c r="D2" s="11">
        <v>0</v>
      </c>
      <c r="E2" s="13">
        <v>0.25</v>
      </c>
      <c r="F2" s="32" t="s">
        <v>35</v>
      </c>
      <c r="G2" s="11">
        <v>400</v>
      </c>
    </row>
    <row r="3" spans="1:7" x14ac:dyDescent="0.2">
      <c r="A3" s="12" t="s">
        <v>9</v>
      </c>
      <c r="B3" s="10">
        <v>400</v>
      </c>
      <c r="C3" s="11">
        <v>52</v>
      </c>
      <c r="D3" s="11">
        <v>0</v>
      </c>
      <c r="E3" s="13">
        <v>0.35</v>
      </c>
      <c r="F3" s="32"/>
      <c r="G3" s="11">
        <v>400</v>
      </c>
    </row>
    <row r="4" spans="1:7" x14ac:dyDescent="0.2">
      <c r="A4" s="12" t="s">
        <v>10</v>
      </c>
      <c r="B4" s="10">
        <v>98</v>
      </c>
      <c r="C4" s="11">
        <v>100</v>
      </c>
      <c r="D4" s="11">
        <v>0</v>
      </c>
      <c r="E4" s="13">
        <v>0.95</v>
      </c>
      <c r="F4" s="32"/>
      <c r="G4" s="11">
        <v>300</v>
      </c>
    </row>
    <row r="5" spans="1:7" x14ac:dyDescent="0.2">
      <c r="A5" s="12" t="s">
        <v>11</v>
      </c>
      <c r="B5" s="10">
        <v>250.00000000000006</v>
      </c>
      <c r="C5" s="11">
        <v>40</v>
      </c>
      <c r="D5" s="11">
        <v>0.4</v>
      </c>
      <c r="E5" s="13">
        <v>0.9</v>
      </c>
      <c r="F5" s="32"/>
      <c r="G5" s="11">
        <v>1000</v>
      </c>
    </row>
    <row r="7" spans="1:7" x14ac:dyDescent="0.2">
      <c r="A7" s="15" t="s">
        <v>36</v>
      </c>
      <c r="B7" s="18">
        <f>SUM(B2:B5)</f>
        <v>1000</v>
      </c>
      <c r="C7" s="18">
        <f>SUMPRODUCT($B$2:$B$5,C2:C5)</f>
        <v>53200</v>
      </c>
      <c r="D7" s="18">
        <f t="shared" ref="D7" si="0">SUMPRODUCT($B$2:$B$5,D2:D5)</f>
        <v>100.00000000000003</v>
      </c>
      <c r="E7" s="19">
        <f>SUMPRODUCT($B$2:$B$5,E2:E5)/1000</f>
        <v>0.52110000000000012</v>
      </c>
      <c r="F7" s="14"/>
    </row>
    <row r="8" spans="1:7" x14ac:dyDescent="0.2">
      <c r="A8" s="15" t="s">
        <v>37</v>
      </c>
      <c r="B8" s="16" t="s">
        <v>38</v>
      </c>
      <c r="C8" s="17" t="s">
        <v>39</v>
      </c>
      <c r="D8" s="16">
        <v>100</v>
      </c>
      <c r="E8" s="17" t="s">
        <v>40</v>
      </c>
      <c r="F8" s="14"/>
    </row>
    <row r="9" spans="1:7" x14ac:dyDescent="0.2">
      <c r="B9" t="s">
        <v>41</v>
      </c>
      <c r="C9" s="14"/>
      <c r="D9" t="s">
        <v>35</v>
      </c>
      <c r="E9" s="14"/>
    </row>
    <row r="12" spans="1:7" x14ac:dyDescent="0.2">
      <c r="A12" t="s">
        <v>43</v>
      </c>
      <c r="B12">
        <v>53200</v>
      </c>
    </row>
  </sheetData>
  <mergeCells count="1">
    <mergeCell ref="F2:F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29F88-EF1B-D14A-9244-E92572A92F00}">
  <sheetPr codeName="Sheet9"/>
  <dimension ref="A1:G13"/>
  <sheetViews>
    <sheetView workbookViewId="0">
      <selection activeCell="E7" sqref="E7"/>
    </sheetView>
  </sheetViews>
  <sheetFormatPr baseColWidth="10" defaultColWidth="11" defaultRowHeight="16" x14ac:dyDescent="0.2"/>
  <cols>
    <col min="1" max="1" width="14" customWidth="1"/>
    <col min="2" max="2" width="12.6640625" customWidth="1"/>
    <col min="3" max="3" width="15.33203125" customWidth="1"/>
    <col min="4" max="4" width="21.6640625" customWidth="1"/>
    <col min="5" max="6" width="21.1640625" customWidth="1"/>
    <col min="7" max="7" width="16" customWidth="1"/>
  </cols>
  <sheetData>
    <row r="1" spans="1:7" x14ac:dyDescent="0.2">
      <c r="A1" s="8" t="s">
        <v>3</v>
      </c>
      <c r="B1" s="9" t="s">
        <v>34</v>
      </c>
      <c r="C1" s="8" t="s">
        <v>4</v>
      </c>
      <c r="D1" s="8" t="s">
        <v>5</v>
      </c>
      <c r="E1" s="8" t="s">
        <v>6</v>
      </c>
      <c r="F1" s="8"/>
      <c r="G1" s="8" t="s">
        <v>7</v>
      </c>
    </row>
    <row r="2" spans="1:7" x14ac:dyDescent="0.2">
      <c r="A2" s="12" t="s">
        <v>8</v>
      </c>
      <c r="B2" s="10">
        <v>202</v>
      </c>
      <c r="C2" s="11">
        <v>50</v>
      </c>
      <c r="D2" s="11">
        <v>0</v>
      </c>
      <c r="E2" s="13">
        <v>0.25</v>
      </c>
      <c r="F2" s="32" t="s">
        <v>35</v>
      </c>
      <c r="G2" s="11">
        <v>400</v>
      </c>
    </row>
    <row r="3" spans="1:7" x14ac:dyDescent="0.2">
      <c r="A3" s="12" t="s">
        <v>9</v>
      </c>
      <c r="B3" s="10">
        <v>400</v>
      </c>
      <c r="C3" s="11">
        <v>52</v>
      </c>
      <c r="D3" s="11">
        <v>0</v>
      </c>
      <c r="E3" s="13">
        <v>0.35</v>
      </c>
      <c r="F3" s="32"/>
      <c r="G3" s="11">
        <v>400</v>
      </c>
    </row>
    <row r="4" spans="1:7" x14ac:dyDescent="0.2">
      <c r="A4" s="12" t="s">
        <v>10</v>
      </c>
      <c r="B4" s="10">
        <v>148</v>
      </c>
      <c r="C4" s="11">
        <v>100</v>
      </c>
      <c r="D4" s="11">
        <v>0</v>
      </c>
      <c r="E4" s="13">
        <v>0.95</v>
      </c>
      <c r="F4" s="32"/>
      <c r="G4" s="11">
        <v>300</v>
      </c>
    </row>
    <row r="5" spans="1:7" x14ac:dyDescent="0.2">
      <c r="A5" s="12" t="s">
        <v>11</v>
      </c>
      <c r="B5" s="10">
        <v>250.00000000000003</v>
      </c>
      <c r="C5" s="11">
        <v>40</v>
      </c>
      <c r="D5" s="11">
        <v>0.4</v>
      </c>
      <c r="E5" s="13">
        <v>0.9</v>
      </c>
      <c r="F5" s="32"/>
      <c r="G5" s="11">
        <v>1000</v>
      </c>
    </row>
    <row r="7" spans="1:7" x14ac:dyDescent="0.2">
      <c r="A7" s="15" t="s">
        <v>36</v>
      </c>
      <c r="B7" s="18">
        <f>SUM(B2:B5)</f>
        <v>1000</v>
      </c>
      <c r="C7" s="18">
        <f>SUMPRODUCT($B$2:$B$5,C2:C5)</f>
        <v>55700</v>
      </c>
      <c r="D7" s="18">
        <f t="shared" ref="D7" si="0">SUMPRODUCT($B$2:$B$5,D2:D5)</f>
        <v>100.00000000000001</v>
      </c>
      <c r="E7" s="19">
        <f>SUMPRODUCT($B$2:$B$5,E2:E5)/1000</f>
        <v>0.55610000000000004</v>
      </c>
      <c r="F7" s="14"/>
    </row>
    <row r="8" spans="1:7" x14ac:dyDescent="0.2">
      <c r="A8" s="15" t="s">
        <v>37</v>
      </c>
      <c r="B8" s="16" t="s">
        <v>38</v>
      </c>
      <c r="C8" s="17" t="s">
        <v>39</v>
      </c>
      <c r="D8" s="16">
        <v>100</v>
      </c>
      <c r="E8" s="17" t="s">
        <v>40</v>
      </c>
      <c r="F8" s="14"/>
    </row>
    <row r="9" spans="1:7" x14ac:dyDescent="0.2">
      <c r="B9" t="s">
        <v>41</v>
      </c>
      <c r="C9" s="14"/>
      <c r="D9" t="s">
        <v>35</v>
      </c>
      <c r="E9" s="14"/>
    </row>
    <row r="13" spans="1:7" x14ac:dyDescent="0.2">
      <c r="A13" t="s">
        <v>44</v>
      </c>
      <c r="B13">
        <v>55700</v>
      </c>
    </row>
  </sheetData>
  <mergeCells count="1">
    <mergeCell ref="F2:F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CAEB2-2F36-5F46-807D-A388B616D5EA}">
  <sheetPr codeName="Sheet5"/>
  <dimension ref="A1:G14"/>
  <sheetViews>
    <sheetView workbookViewId="0">
      <selection activeCell="E7" sqref="E7"/>
    </sheetView>
  </sheetViews>
  <sheetFormatPr baseColWidth="10" defaultColWidth="11" defaultRowHeight="16" x14ac:dyDescent="0.2"/>
  <cols>
    <col min="1" max="1" width="14" customWidth="1"/>
    <col min="2" max="2" width="12.6640625" customWidth="1"/>
    <col min="3" max="3" width="15.33203125" customWidth="1"/>
    <col min="4" max="4" width="21.6640625" customWidth="1"/>
    <col min="5" max="6" width="21.1640625" customWidth="1"/>
    <col min="7" max="7" width="16" customWidth="1"/>
  </cols>
  <sheetData>
    <row r="1" spans="1:7" x14ac:dyDescent="0.2">
      <c r="A1" s="8" t="s">
        <v>3</v>
      </c>
      <c r="B1" s="9" t="s">
        <v>34</v>
      </c>
      <c r="C1" s="8" t="s">
        <v>4</v>
      </c>
      <c r="D1" s="8" t="s">
        <v>5</v>
      </c>
      <c r="E1" s="8" t="s">
        <v>6</v>
      </c>
      <c r="F1" s="8"/>
      <c r="G1" s="8" t="s">
        <v>7</v>
      </c>
    </row>
    <row r="2" spans="1:7" x14ac:dyDescent="0.2">
      <c r="A2" s="12" t="s">
        <v>8</v>
      </c>
      <c r="B2" s="10">
        <v>152.00000000000003</v>
      </c>
      <c r="C2" s="11">
        <v>50</v>
      </c>
      <c r="D2" s="11">
        <v>0</v>
      </c>
      <c r="E2" s="13">
        <v>0.25</v>
      </c>
      <c r="F2" s="32" t="s">
        <v>35</v>
      </c>
      <c r="G2" s="11">
        <v>400</v>
      </c>
    </row>
    <row r="3" spans="1:7" x14ac:dyDescent="0.2">
      <c r="A3" s="12" t="s">
        <v>9</v>
      </c>
      <c r="B3" s="10">
        <v>400</v>
      </c>
      <c r="C3" s="11">
        <v>52</v>
      </c>
      <c r="D3" s="11">
        <v>0</v>
      </c>
      <c r="E3" s="13">
        <v>0.35</v>
      </c>
      <c r="F3" s="32"/>
      <c r="G3" s="11">
        <v>400</v>
      </c>
    </row>
    <row r="4" spans="1:7" x14ac:dyDescent="0.2">
      <c r="A4" s="12" t="s">
        <v>10</v>
      </c>
      <c r="B4" s="10">
        <v>197.99999999999997</v>
      </c>
      <c r="C4" s="11">
        <v>100</v>
      </c>
      <c r="D4" s="11">
        <v>0</v>
      </c>
      <c r="E4" s="13">
        <v>0.95</v>
      </c>
      <c r="F4" s="32"/>
      <c r="G4" s="11">
        <v>300</v>
      </c>
    </row>
    <row r="5" spans="1:7" x14ac:dyDescent="0.2">
      <c r="A5" s="12" t="s">
        <v>11</v>
      </c>
      <c r="B5" s="10">
        <v>250</v>
      </c>
      <c r="C5" s="11">
        <v>40</v>
      </c>
      <c r="D5" s="11">
        <v>0.4</v>
      </c>
      <c r="E5" s="13">
        <v>0.9</v>
      </c>
      <c r="F5" s="32"/>
      <c r="G5" s="11">
        <v>1000</v>
      </c>
    </row>
    <row r="7" spans="1:7" x14ac:dyDescent="0.2">
      <c r="A7" s="15" t="s">
        <v>36</v>
      </c>
      <c r="B7" s="18">
        <f>SUM(B2:B5)</f>
        <v>1000</v>
      </c>
      <c r="C7" s="18">
        <f>SUMPRODUCT($B$2:$B$5,C2:C5)</f>
        <v>58200</v>
      </c>
      <c r="D7" s="18">
        <f t="shared" ref="D7" si="0">SUMPRODUCT($B$2:$B$5,D2:D5)</f>
        <v>100</v>
      </c>
      <c r="E7" s="19">
        <f>SUMPRODUCT($B$2:$B$5,E2:E5)/1000</f>
        <v>0.59109999999999996</v>
      </c>
      <c r="F7" s="14"/>
    </row>
    <row r="8" spans="1:7" x14ac:dyDescent="0.2">
      <c r="A8" s="15" t="s">
        <v>37</v>
      </c>
      <c r="B8" s="16" t="s">
        <v>38</v>
      </c>
      <c r="C8" s="17" t="s">
        <v>39</v>
      </c>
      <c r="D8" s="16">
        <v>100</v>
      </c>
      <c r="E8" s="17" t="s">
        <v>40</v>
      </c>
      <c r="F8" s="14"/>
    </row>
    <row r="9" spans="1:7" x14ac:dyDescent="0.2">
      <c r="B9" t="s">
        <v>41</v>
      </c>
      <c r="C9" s="14"/>
      <c r="D9" t="s">
        <v>35</v>
      </c>
      <c r="E9" s="14"/>
    </row>
    <row r="14" spans="1:7" x14ac:dyDescent="0.2">
      <c r="A14" t="s">
        <v>45</v>
      </c>
      <c r="B14">
        <v>58200</v>
      </c>
    </row>
  </sheetData>
  <mergeCells count="1">
    <mergeCell ref="F2:F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F9EA2-61B7-EA4F-BDB3-4B3443E8870A}">
  <sheetPr codeName="Sheet6"/>
  <dimension ref="A1:G16"/>
  <sheetViews>
    <sheetView workbookViewId="0">
      <selection activeCell="B17" sqref="B17"/>
    </sheetView>
  </sheetViews>
  <sheetFormatPr baseColWidth="10" defaultColWidth="11" defaultRowHeight="16" x14ac:dyDescent="0.2"/>
  <cols>
    <col min="1" max="1" width="14" customWidth="1"/>
    <col min="2" max="2" width="12.6640625" customWidth="1"/>
    <col min="3" max="3" width="15.33203125" customWidth="1"/>
    <col min="4" max="4" width="21.6640625" customWidth="1"/>
    <col min="5" max="6" width="21.1640625" customWidth="1"/>
    <col min="7" max="7" width="16" customWidth="1"/>
  </cols>
  <sheetData>
    <row r="1" spans="1:7" x14ac:dyDescent="0.2">
      <c r="A1" s="8" t="s">
        <v>3</v>
      </c>
      <c r="B1" s="9" t="s">
        <v>34</v>
      </c>
      <c r="C1" s="8" t="s">
        <v>4</v>
      </c>
      <c r="D1" s="8" t="s">
        <v>5</v>
      </c>
      <c r="E1" s="8" t="s">
        <v>6</v>
      </c>
      <c r="F1" s="8"/>
      <c r="G1" s="8" t="s">
        <v>7</v>
      </c>
    </row>
    <row r="2" spans="1:7" x14ac:dyDescent="0.2">
      <c r="A2" s="12" t="s">
        <v>8</v>
      </c>
      <c r="B2" s="10">
        <v>102.00000000000003</v>
      </c>
      <c r="C2" s="11">
        <v>50</v>
      </c>
      <c r="D2" s="11">
        <v>0</v>
      </c>
      <c r="E2" s="13">
        <v>0.25</v>
      </c>
      <c r="F2" s="32" t="s">
        <v>35</v>
      </c>
      <c r="G2" s="11">
        <v>400</v>
      </c>
    </row>
    <row r="3" spans="1:7" x14ac:dyDescent="0.2">
      <c r="A3" s="12" t="s">
        <v>9</v>
      </c>
      <c r="B3" s="10">
        <v>400</v>
      </c>
      <c r="C3" s="11">
        <v>52</v>
      </c>
      <c r="D3" s="11">
        <v>0</v>
      </c>
      <c r="E3" s="13">
        <v>0.35</v>
      </c>
      <c r="F3" s="32"/>
      <c r="G3" s="11">
        <v>400</v>
      </c>
    </row>
    <row r="4" spans="1:7" x14ac:dyDescent="0.2">
      <c r="A4" s="12" t="s">
        <v>10</v>
      </c>
      <c r="B4" s="10">
        <v>248</v>
      </c>
      <c r="C4" s="11">
        <v>100</v>
      </c>
      <c r="D4" s="11">
        <v>0</v>
      </c>
      <c r="E4" s="13">
        <v>0.95</v>
      </c>
      <c r="F4" s="32"/>
      <c r="G4" s="11">
        <v>300</v>
      </c>
    </row>
    <row r="5" spans="1:7" x14ac:dyDescent="0.2">
      <c r="A5" s="12" t="s">
        <v>11</v>
      </c>
      <c r="B5" s="10">
        <v>250.00000000000003</v>
      </c>
      <c r="C5" s="11">
        <v>40</v>
      </c>
      <c r="D5" s="11">
        <v>0.4</v>
      </c>
      <c r="E5" s="13">
        <v>0.9</v>
      </c>
      <c r="F5" s="32"/>
      <c r="G5" s="11">
        <v>1000</v>
      </c>
    </row>
    <row r="7" spans="1:7" x14ac:dyDescent="0.2">
      <c r="A7" s="15" t="s">
        <v>36</v>
      </c>
      <c r="B7" s="18">
        <f>SUM(B2:B5)</f>
        <v>1000</v>
      </c>
      <c r="C7" s="18">
        <f>SUMPRODUCT($B$2:$B$5,C2:C5)</f>
        <v>60700</v>
      </c>
      <c r="D7" s="18">
        <f t="shared" ref="D7" si="0">SUMPRODUCT($B$2:$B$5,D2:D5)</f>
        <v>100.00000000000001</v>
      </c>
      <c r="E7" s="19">
        <f>SUMPRODUCT($B$2:$B$5,E2:E5)/1000</f>
        <v>0.62609999999999999</v>
      </c>
      <c r="F7" s="14"/>
    </row>
    <row r="8" spans="1:7" x14ac:dyDescent="0.2">
      <c r="A8" s="15" t="s">
        <v>37</v>
      </c>
      <c r="B8" s="16" t="s">
        <v>38</v>
      </c>
      <c r="C8" s="17" t="s">
        <v>39</v>
      </c>
      <c r="D8" s="16">
        <v>100</v>
      </c>
      <c r="E8" s="17" t="s">
        <v>40</v>
      </c>
      <c r="F8" s="14"/>
    </row>
    <row r="9" spans="1:7" x14ac:dyDescent="0.2">
      <c r="B9" t="s">
        <v>41</v>
      </c>
      <c r="C9" s="14"/>
      <c r="D9" t="s">
        <v>35</v>
      </c>
      <c r="E9" s="14"/>
    </row>
    <row r="16" spans="1:7" x14ac:dyDescent="0.2">
      <c r="A16" t="s">
        <v>46</v>
      </c>
      <c r="B16">
        <v>60700</v>
      </c>
    </row>
  </sheetData>
  <mergeCells count="1">
    <mergeCell ref="F2:F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76C70-32C7-1746-BEE4-4FE3DE96F14C}">
  <sheetPr codeName="Sheet7"/>
  <dimension ref="A1:P23"/>
  <sheetViews>
    <sheetView topLeftCell="A17" workbookViewId="0">
      <selection activeCell="J25" sqref="J25"/>
    </sheetView>
  </sheetViews>
  <sheetFormatPr baseColWidth="10" defaultColWidth="11" defaultRowHeight="16" x14ac:dyDescent="0.2"/>
  <cols>
    <col min="3" max="3" width="12.1640625" bestFit="1" customWidth="1"/>
  </cols>
  <sheetData>
    <row r="1" spans="1:4" x14ac:dyDescent="0.2">
      <c r="A1" s="20" t="s">
        <v>47</v>
      </c>
      <c r="B1" s="20" t="s">
        <v>48</v>
      </c>
      <c r="C1" s="14"/>
      <c r="D1" s="14"/>
    </row>
    <row r="2" spans="1:4" x14ac:dyDescent="0.2">
      <c r="A2" s="21">
        <v>48200</v>
      </c>
      <c r="B2" s="21">
        <v>0.44750000000000001</v>
      </c>
      <c r="C2" s="14"/>
      <c r="D2" s="14"/>
    </row>
    <row r="3" spans="1:4" x14ac:dyDescent="0.2">
      <c r="A3" s="22">
        <v>50700</v>
      </c>
      <c r="B3" s="22">
        <v>0.49310000000000004</v>
      </c>
      <c r="C3" s="23">
        <f>(B3-B2)/(A3-A2)</f>
        <v>1.8240000000000012E-5</v>
      </c>
      <c r="D3" s="26"/>
    </row>
    <row r="4" spans="1:4" x14ac:dyDescent="0.2">
      <c r="A4" s="25">
        <v>53200</v>
      </c>
      <c r="B4" s="22">
        <v>0.52110000000000012</v>
      </c>
      <c r="C4" s="23">
        <f>(B4-B3)/(A4-A3)</f>
        <v>1.1200000000000032E-5</v>
      </c>
      <c r="D4" s="26"/>
    </row>
    <row r="5" spans="1:4" x14ac:dyDescent="0.2">
      <c r="A5" s="25">
        <v>55700</v>
      </c>
      <c r="B5" s="22">
        <v>0.55610000000000004</v>
      </c>
      <c r="C5" s="23">
        <f>(B5-B4)/(A5-A4)</f>
        <v>1.3999999999999968E-5</v>
      </c>
      <c r="D5" s="26"/>
    </row>
    <row r="6" spans="1:4" x14ac:dyDescent="0.2">
      <c r="A6" s="25">
        <v>58200</v>
      </c>
      <c r="B6" s="22">
        <v>0.59109999999999996</v>
      </c>
      <c r="C6" s="23">
        <f t="shared" ref="C6:C8" si="0">(B6-B5)/(A6-A5)</f>
        <v>1.3999999999999968E-5</v>
      </c>
      <c r="D6" s="26"/>
    </row>
    <row r="7" spans="1:4" x14ac:dyDescent="0.2">
      <c r="A7" s="25">
        <v>60700</v>
      </c>
      <c r="B7" s="22">
        <v>0.63</v>
      </c>
      <c r="C7" s="23">
        <f t="shared" si="0"/>
        <v>1.5560000000000017E-5</v>
      </c>
      <c r="D7" s="26"/>
    </row>
    <row r="8" spans="1:4" x14ac:dyDescent="0.2">
      <c r="A8" s="24">
        <v>63300</v>
      </c>
      <c r="B8" s="24">
        <v>0.66249999999999998</v>
      </c>
      <c r="C8" s="23">
        <f t="shared" si="0"/>
        <v>1.249999999999999E-5</v>
      </c>
      <c r="D8" s="26"/>
    </row>
    <row r="9" spans="1:4" x14ac:dyDescent="0.2">
      <c r="A9" s="14"/>
      <c r="B9" s="14"/>
      <c r="C9" s="14"/>
      <c r="D9" s="14"/>
    </row>
    <row r="10" spans="1:4" x14ac:dyDescent="0.2">
      <c r="A10" s="14"/>
      <c r="B10" s="14"/>
      <c r="C10" s="14"/>
      <c r="D10" s="14"/>
    </row>
    <row r="11" spans="1:4" x14ac:dyDescent="0.2">
      <c r="A11" s="14" t="s">
        <v>49</v>
      </c>
      <c r="B11" s="14"/>
      <c r="C11" s="14"/>
      <c r="D11" s="14"/>
    </row>
    <row r="12" spans="1:4" x14ac:dyDescent="0.2">
      <c r="A12" s="14" t="s">
        <v>50</v>
      </c>
      <c r="B12" s="14"/>
      <c r="C12" s="14"/>
      <c r="D12" s="14"/>
    </row>
    <row r="13" spans="1:4" x14ac:dyDescent="0.2">
      <c r="A13" s="14" t="s">
        <v>51</v>
      </c>
      <c r="B13" s="27">
        <f>(A8-A2)/6</f>
        <v>2516.6666666666665</v>
      </c>
      <c r="C13" s="14" t="s">
        <v>52</v>
      </c>
      <c r="D13" s="14">
        <v>2500</v>
      </c>
    </row>
    <row r="14" spans="1:4" x14ac:dyDescent="0.2">
      <c r="A14" s="14"/>
      <c r="B14" s="14"/>
      <c r="C14" s="14"/>
      <c r="D14" s="14"/>
    </row>
    <row r="15" spans="1:4" x14ac:dyDescent="0.2">
      <c r="A15" s="14" t="s">
        <v>53</v>
      </c>
      <c r="B15" s="14"/>
      <c r="C15" s="14"/>
      <c r="D15" s="14"/>
    </row>
    <row r="16" spans="1:4" x14ac:dyDescent="0.2">
      <c r="A16" s="14" t="s">
        <v>42</v>
      </c>
      <c r="B16" s="25">
        <f>A2+$D$13</f>
        <v>50700</v>
      </c>
      <c r="C16" s="14"/>
      <c r="D16" s="14"/>
    </row>
    <row r="17" spans="1:16" x14ac:dyDescent="0.2">
      <c r="A17" s="14" t="s">
        <v>43</v>
      </c>
      <c r="B17" s="25">
        <f>B16+$D$13</f>
        <v>53200</v>
      </c>
      <c r="C17" s="14"/>
      <c r="D17" s="14"/>
    </row>
    <row r="18" spans="1:16" x14ac:dyDescent="0.2">
      <c r="A18" s="14" t="s">
        <v>44</v>
      </c>
      <c r="B18" s="25">
        <f t="shared" ref="B18:B20" si="1">B17+$D$13</f>
        <v>55700</v>
      </c>
      <c r="C18" s="14"/>
      <c r="D18" s="14"/>
    </row>
    <row r="19" spans="1:16" x14ac:dyDescent="0.2">
      <c r="A19" s="14" t="s">
        <v>45</v>
      </c>
      <c r="B19" s="25">
        <f t="shared" si="1"/>
        <v>58200</v>
      </c>
      <c r="C19" s="14"/>
      <c r="D19" s="14"/>
    </row>
    <row r="20" spans="1:16" x14ac:dyDescent="0.2">
      <c r="A20" s="14" t="s">
        <v>46</v>
      </c>
      <c r="B20" s="25">
        <f t="shared" si="1"/>
        <v>60700</v>
      </c>
      <c r="C20" s="14"/>
      <c r="D20" s="14"/>
    </row>
    <row r="23" spans="1:16" ht="207.75" customHeight="1" x14ac:dyDescent="0.2">
      <c r="E23" s="33" t="s">
        <v>54</v>
      </c>
      <c r="F23" s="33"/>
      <c r="G23" s="33"/>
      <c r="H23" s="33"/>
      <c r="I23" s="33"/>
      <c r="J23" s="33"/>
      <c r="K23" s="33"/>
      <c r="L23" s="33"/>
      <c r="M23" s="33"/>
      <c r="N23" s="33"/>
      <c r="O23" s="33"/>
      <c r="P23" s="33"/>
    </row>
  </sheetData>
  <mergeCells count="1">
    <mergeCell ref="E23:P2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08882-7564-4BD6-BA7A-1CFAF0408B02}">
  <dimension ref="A1"/>
  <sheetViews>
    <sheetView workbookViewId="0">
      <selection activeCell="M17" sqref="M17"/>
    </sheetView>
  </sheetViews>
  <sheetFormatPr baseColWidth="10" defaultColWidth="8.83203125"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Problem Statement</vt:lpstr>
      <vt:lpstr>Model Setup</vt:lpstr>
      <vt:lpstr>Min Cost</vt:lpstr>
      <vt:lpstr>Max Reliability</vt:lpstr>
      <vt:lpstr>P1</vt:lpstr>
      <vt:lpstr>P2</vt:lpstr>
      <vt:lpstr>P3</vt:lpstr>
      <vt:lpstr>P4</vt:lpstr>
      <vt:lpstr>P5</vt:lpstr>
      <vt:lpstr>ParetoFront, Result&amp;Analysis</vt:lpstr>
      <vt:lpstr>Recommendations &amp; Conclusion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邑靜 蕭</dc:creator>
  <cp:keywords/>
  <dc:description/>
  <cp:lastModifiedBy>Liu, Timothy</cp:lastModifiedBy>
  <cp:revision/>
  <dcterms:created xsi:type="dcterms:W3CDTF">2025-04-18T19:32:51Z</dcterms:created>
  <dcterms:modified xsi:type="dcterms:W3CDTF">2025-11-30T04:01:03Z</dcterms:modified>
  <cp:category/>
  <cp:contentStatus/>
</cp:coreProperties>
</file>